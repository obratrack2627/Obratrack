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Supuestos &amp; Macro" state="visible" r:id="rId4"/>
    <sheet sheetId="2" name="2. Mano de Obra" state="visible" r:id="rId5"/>
    <sheet sheetId="3" name="3. Maquinaria &amp; Equipos" state="visible" r:id="rId6"/>
    <sheet sheetId="4" name="4. Software &amp; Licencias" state="visible" r:id="rId7"/>
    <sheet sheetId="5" name="5. Infraestructura Cloud" state="visible" r:id="rId8"/>
    <sheet sheetId="6" name="6. Insumos &amp; Gastos Gen" state="visible" r:id="rId9"/>
    <sheet sheetId="7" name="7. Demanda &amp; Ingresos" state="visible" r:id="rId10"/>
    <sheet sheetId="8" name="8. Inversion &amp; Cap Trabajo" state="visible" r:id="rId11"/>
    <sheet sheetId="9" name="9. Personal Operativo" state="visible" r:id="rId12"/>
    <sheet sheetId="10" name="10. Flujo Neto de Fondos" state="visible" r:id="rId13"/>
  </sheets>
  <calcPr calcId="171027"/>
</workbook>
</file>

<file path=xl/sharedStrings.xml><?xml version="1.0" encoding="utf-8"?>
<sst xmlns="http://schemas.openxmlformats.org/spreadsheetml/2006/main" count="532" uniqueCount="367">
  <si>
    <t>Parámetro / Variable Macroeconómica</t>
  </si>
  <si>
    <t>Símbolo</t>
  </si>
  <si>
    <t>Valor Asumido</t>
  </si>
  <si>
    <t>Unidad / Formato</t>
  </si>
  <si>
    <t>Fuente Oficial / Fundamento Técnico</t>
  </si>
  <si>
    <t>Horizonte Temporal de Evaluación</t>
  </si>
  <si>
    <t>N</t>
  </si>
  <si>
    <t>Años</t>
  </si>
  <si>
    <t>Estándar para evaluación de proyectos de software y plataformas SaaS</t>
  </si>
  <si>
    <t>Año 0: Constitución &amp; Desarrollo Pre-operativo (2 Socios)</t>
  </si>
  <si>
    <t>Año 0</t>
  </si>
  <si>
    <t>Año</t>
  </si>
  <si>
    <t>Fase de arquitectura, programación del MVP y pruebas de terreno</t>
  </si>
  <si>
    <t>Año 1: Lanzamiento Comercial &amp; Operación Inicial</t>
  </si>
  <si>
    <t>Año 1</t>
  </si>
  <si>
    <t>Comienzo de operaciones comerciales y primeros 95 clientes activos</t>
  </si>
  <si>
    <t>Año 2: Crecimiento y Consolidación Regional</t>
  </si>
  <si>
    <t>Año 2</t>
  </si>
  <si>
    <t>Consolidación en Región Metropolitana (210 clientes activos)</t>
  </si>
  <si>
    <t>Año 3: Expansión Nacional</t>
  </si>
  <si>
    <t>Año 3</t>
  </si>
  <si>
    <t>Expansión a principales zonas constructoras del país (380 clientes activos)</t>
  </si>
  <si>
    <t>Año 4: Madurez del Software &amp; Cobertura Integral</t>
  </si>
  <si>
    <t>Año 4</t>
  </si>
  <si>
    <t>Liderazgo en gestión digital de obras para PYMEs (580 clientes activos)</t>
  </si>
  <si>
    <t>Tasa de Inflación Anual Proyectada (IPC)</t>
  </si>
  <si>
    <t>IPC</t>
  </si>
  <si>
    <t>3.80%</t>
  </si>
  <si>
    <t>Rango meta de largo plazo del Banco Central de Chile (3.0% - 4.0%)</t>
  </si>
  <si>
    <t>Impuesto a la Renta de 1ª Categoría (SII)</t>
  </si>
  <si>
    <t>Tc</t>
  </si>
  <si>
    <t>27.00%</t>
  </si>
  <si>
    <t>Servicio de Impuestos Internos (SII) - Régimen General corporativo</t>
  </si>
  <si>
    <t>Tipo de Cambio Nominal Proyectado</t>
  </si>
  <si>
    <t>USD/CLP</t>
  </si>
  <si>
    <t>CLP / USD</t>
  </si>
  <si>
    <t>Promedio proyectado Banco Central de Chile</t>
  </si>
  <si>
    <t>Tasa Libre de Riesgo (Depósito a Plazo)</t>
  </si>
  <si>
    <t>Rf</t>
  </si>
  <si>
    <t>4.00%</t>
  </si>
  <si>
    <t>Tasa de Interés Depósito a Plazo BancoEstado / Banco Central (Recomendación Prof. Patricia)</t>
  </si>
  <si>
    <t>Beta Sectorial Software &amp; SaaS (Damodaran)</t>
  </si>
  <si>
    <t>β</t>
  </si>
  <si>
    <t>1.25</t>
  </si>
  <si>
    <t>Aswath Damodaran (NYU Stern) - Software (System &amp; Application)</t>
  </si>
  <si>
    <t>Prima por Riesgo de Mercado Accionario (Rm - Rf)</t>
  </si>
  <si>
    <t>PRM</t>
  </si>
  <si>
    <t>6.00%</t>
  </si>
  <si>
    <t>Diferencial exigido por inversionistas sobre el activo libre de riesgo</t>
  </si>
  <si>
    <t>Riesgo País de Chile (Indicador EMBI JP Morgan)</t>
  </si>
  <si>
    <t>Rp</t>
  </si>
  <si>
    <t>1.35%</t>
  </si>
  <si>
    <t>Riesgo soberano de Chile (aprox. 135 puntos base)</t>
  </si>
  <si>
    <t>Tasa de Descuento Anual (CAPM: Ke = Rf + β*PRM + Rp)</t>
  </si>
  <si>
    <t>Ke</t>
  </si>
  <si>
    <t>12.85%</t>
  </si>
  <si>
    <t>Costo de Oportunidad del Capital (Rango 11% - 15% solicitado por Prof. Patricia)</t>
  </si>
  <si>
    <t>Vida Útil Tributaria Equipos Computacionales</t>
  </si>
  <si>
    <t>VU_TI</t>
  </si>
  <si>
    <t>Tabla Oficial de Vida Útil de Bienes Físicos del SII</t>
  </si>
  <si>
    <t>Vida Útil Smartphones para Test de Terreno</t>
  </si>
  <si>
    <t>VU_MOB</t>
  </si>
  <si>
    <t>Comisión Pasarela Transbank Webpay Plus</t>
  </si>
  <si>
    <t>C_PAY</t>
  </si>
  <si>
    <t>2.50%</t>
  </si>
  <si>
    <t>Arancel comercial Transbank Webpay Plus sobre ventas netas</t>
  </si>
  <si>
    <t>Comisión por Venta a Ejecutivos Comerciales</t>
  </si>
  <si>
    <t>C_VTA</t>
  </si>
  <si>
    <t>5.00%</t>
  </si>
  <si>
    <t>Incentivo comercial variable sobre facturación neta</t>
  </si>
  <si>
    <t>MARCO TEÓRICO Y CONCEPTUAL DE EVALUACIÓN DE PROYECTOS (RESPUESTAS A PROFESORA PATRICIA)</t>
  </si>
  <si>
    <t>1. ¿Qué es el Capital de Trabajo (KT) y cómo se calcula?</t>
  </si>
  <si>
    <t>Definición:</t>
  </si>
  <si>
    <t>Es el volumen de recursos financieros líquidos que la empresa debe disponer anticipadamente para cubrir el desfase temporal entre el pago de egresos operacionales (sueldos, licencias, nube, arriendo) y la recaudación efectiva de ingresos por ventas de suscripciones.</t>
  </si>
  <si>
    <t>¿Por qué se invierte en Año 0 y se recupera en Año 4?</t>
  </si>
  <si>
    <t>Justificación:</t>
  </si>
  <si>
    <t>En el Año 0 se invierte para financiar los 6 meses de desarrollo de los 2 fundadores y los meses iniciales con desfase de caja. En el Año 4 se recupera íntegramente al 100% porque el Capital de Trabajo no es un costo ni un gasto consumido, sino un fondo de maniobra rotativo que queda liberado y disponible al liquidar el horizonte del proyecto.</t>
  </si>
  <si>
    <t>2. ¿Qué es la Tasa de Descuento (Ke) y cómo se calcula?</t>
  </si>
  <si>
    <t>Representa el costo de oportunidad del dinero: la rentabilidad mínima que los inversionistas le exigen a ObraTrack SpA frente a alternativas de riesgo similar. Se calculó rigurosamente mediante el modelo CAPM con la tasa de depósito a plazo (4.0%), beta sectorial de software (1.25), prima de riesgo de mercado (6.0%) y riesgo país (1.35%): Ke = 4.0% + 1.25*6.0% + 1.35% = 12.85%, cumpliendo estrictamente con el rango de 11% a 15% solicitado.</t>
  </si>
  <si>
    <t>SECCIÓN A: MANO DE OBRA EN AÑO 0 (DESARROLLO PRE-OPERATIVO - 2 FUNDADORES, 6 MESES)</t>
  </si>
  <si>
    <t>Rol / Cargo del Equipo</t>
  </si>
  <si>
    <t>Modalidad</t>
  </si>
  <si>
    <t>Cant.</t>
  </si>
  <si>
    <t>Sueldo Bruto Mes (CLP)</t>
  </si>
  <si>
    <t>Leyes Soc. (4.5%)</t>
  </si>
  <si>
    <t>Año 0 (2026)</t>
  </si>
  <si>
    <t>Año 1 (2027)</t>
  </si>
  <si>
    <t>Año 2 (2028)</t>
  </si>
  <si>
    <t>Año 3 (2029)</t>
  </si>
  <si>
    <t>Año 4 (2030)</t>
  </si>
  <si>
    <t>Fundador 1: Benjamín Achávar (Lead Architect / Dev)</t>
  </si>
  <si>
    <t>Pre-operativo (6 Meses)</t>
  </si>
  <si>
    <t>Fundador 2: Co-Fundador (Full-Stack Dev &amp; QA)</t>
  </si>
  <si>
    <t>Subtotal Mano de Obra Año 0 (Inversión Capital de Trabajo)</t>
  </si>
  <si>
    <t>-</t>
  </si>
  <si>
    <t>SECCIÓN B: MANO DE OBRA OPERATIVA (AÑOS 1 AL 4: FUNDADORES + EQUIPO DE ESCALAMIENTO)</t>
  </si>
  <si>
    <t>Fundador 1: Jefe de Proyecto &amp; CTO</t>
  </si>
  <si>
    <t>Indefinido (Jornada Completa)</t>
  </si>
  <si>
    <t>Fundador 2: Desarrollador Full-Stack Senior</t>
  </si>
  <si>
    <t>Soporte Técnico &amp; Onboarding Terreno (Ingreso Año 2)</t>
  </si>
  <si>
    <t>Indefinido (Onboarding y Faenas)</t>
  </si>
  <si>
    <t>Ejecutivo Comercial B2B (Ingreso Año 3)</t>
  </si>
  <si>
    <t>Indefinido (Sueldo Base)</t>
  </si>
  <si>
    <t>Total Sueldos Fijos Fase Operativa (CLP)</t>
  </si>
  <si>
    <t>BALANCE DE MAQUINARIA Y EQUIPAMIENTO (INVERSIÓN EN AÑO 0 Y ADQUISICIÓN EN AÑO 1)</t>
  </si>
  <si>
    <t>Detalle del Activo Fijo</t>
  </si>
  <si>
    <t>Momento Compra</t>
  </si>
  <si>
    <t>Precio Unitario Sin IVA</t>
  </si>
  <si>
    <t>Inversión Total Sin IVA</t>
  </si>
  <si>
    <t>Vida Útil (SII)</t>
  </si>
  <si>
    <t>Depreciación Anual</t>
  </si>
  <si>
    <t>Valor Residual Total</t>
  </si>
  <si>
    <t>Usuario Asignado / Rol</t>
  </si>
  <si>
    <t>PC Escritorio Desarrollo Profesional (Core i7, 32GB)</t>
  </si>
  <si>
    <t>Año 0 (Aporte Socio)</t>
  </si>
  <si>
    <t>Benjamín Achávar (Estación de trabajo)</t>
  </si>
  <si>
    <t>Notebook Desarrollo Co-Fundador (ThinkPad/Dell 32GB)</t>
  </si>
  <si>
    <t>Co-Fundador (Desarrollo y DevOps)</t>
  </si>
  <si>
    <t>Smartphone Android Test Terreno (Samsung A35 Movistar)</t>
  </si>
  <si>
    <t>Año 0 (Compra Inicial)</t>
  </si>
  <si>
    <t>Pruebas de GPS, fotos faena y WhatsApp</t>
  </si>
  <si>
    <t>Monitores Profesionales 27" IPS (2 Estaciones)</t>
  </si>
  <si>
    <t>Productividad de programación dual</t>
  </si>
  <si>
    <t>Notebook Soporte Técnico &amp; Onboarding en Obra</t>
  </si>
  <si>
    <t>Año 1 (Adquisición)</t>
  </si>
  <si>
    <t>Personal de Soporte Técnico Terreno</t>
  </si>
  <si>
    <t>Smartphone Terreno Adicional para Cuadrillas</t>
  </si>
  <si>
    <t>Soporte y visitas técnicas a faena</t>
  </si>
  <si>
    <t>Subtotal Inversión Maquinaria en Año 0 (Activo Fijo Inicial)</t>
  </si>
  <si>
    <t>Inversión Inicial en Hardware</t>
  </si>
  <si>
    <t>Subtotal Inversión Maquinaria en Año 1 (Reinversión / Nuevo Personal)</t>
  </si>
  <si>
    <t>Inversión de Expansión en Año 1</t>
  </si>
  <si>
    <t>CALENDARIO DE DEPRECIACIÓN TRIBUTARIA (SII)</t>
  </si>
  <si>
    <t/>
  </si>
  <si>
    <t>Valor Libro Final</t>
  </si>
  <si>
    <t>Valor Desecho Estimado</t>
  </si>
  <si>
    <t>Depreciación Lote Año 0 (3 años equipos, 2 años smart)</t>
  </si>
  <si>
    <t>Depreciación Lote Año 1 (3 años notebook, 2 años smart)</t>
  </si>
  <si>
    <t>Depreciación Total por Período (CLP)</t>
  </si>
  <si>
    <t>BALANCE DE SOFTWARE, LICENCIAS Y CONECTIVIDAD (AÑO 0 DESARROLLO VS AÑOS 1-4 PRODUCCIÓN)</t>
  </si>
  <si>
    <t>Herramienta Tecnológica</t>
  </si>
  <si>
    <t>Costo USD</t>
  </si>
  <si>
    <t>Año 0 (Desarrollo)</t>
  </si>
  <si>
    <t>Proveedor / Justificación Técnica</t>
  </si>
  <si>
    <t>Google AI Pro Estudiante (Plan $5.400/mes)</t>
  </si>
  <si>
    <t>Mensual x 12 (Benjamín)</t>
  </si>
  <si>
    <t>Suscripción personal Google AI para desarrollo</t>
  </si>
  <si>
    <t>Plan Datos Móviles Smartphone Movistar</t>
  </si>
  <si>
    <t>Mensual x 12 (Conexión)</t>
  </si>
  <si>
    <t>Conectividad 4G/5G para pruebas en faena</t>
  </si>
  <si>
    <t>Dominio Oficial .CL (NIC Chile)</t>
  </si>
  <si>
    <t>Anual</t>
  </si>
  <si>
    <t>NIC Chile (Universidad de Chile)</t>
  </si>
  <si>
    <t>Cuenta Google Play Developer</t>
  </si>
  <si>
    <t>Pago Único Inicial</t>
  </si>
  <si>
    <t>Google Play Console (Publicación Android)</t>
  </si>
  <si>
    <t>Apple Developer Program (iOS App)</t>
  </si>
  <si>
    <t>Apple Developer Enterprise</t>
  </si>
  <si>
    <t>GitHub Team &amp; Copilot Workspace (2 Devs)</t>
  </si>
  <si>
    <t>Mensual x 12</t>
  </si>
  <si>
    <t>Licencias GitHub para desarrollo colaborativo</t>
  </si>
  <si>
    <t>Vercel (Hosting &amp; Edge Functions Next.js)</t>
  </si>
  <si>
    <t>Free en Año 0 -&gt; Pro en Año 1</t>
  </si>
  <si>
    <t>Despliegue CI/CD, SSL y SSR global Next.js</t>
  </si>
  <si>
    <t>Supabase (PostgreSQL, Auth &amp; Storage Faena)</t>
  </si>
  <si>
    <t>Escala con gigabytes de fotos de faena y backups</t>
  </si>
  <si>
    <t>Total Software, Licencias &amp; Conectividad (CLP)</t>
  </si>
  <si>
    <t>Herramientas Tecnológicas del Proyecto</t>
  </si>
  <si>
    <t>Servicio Cloud / API Externa</t>
  </si>
  <si>
    <t>Métrica de Consumo / Plan</t>
  </si>
  <si>
    <t>Justificación Técnica de Escalabilidad</t>
  </si>
  <si>
    <t>Google Gemini API (3.5/3.6/2.5 Flash)</t>
  </si>
  <si>
    <t>Tokens de Cotizador, APU y Chat</t>
  </si>
  <si>
    <t>Inferencia de cubicaciones y radar de ferreterías</t>
  </si>
  <si>
    <t>WhatsApp Business Cloud API (Meta)</t>
  </si>
  <si>
    <t>Notificaciones de Avance y Reportes</t>
  </si>
  <si>
    <t>Costo por conversación iniciada con mandantes</t>
  </si>
  <si>
    <t>Google Maps Platform (Geocoding)</t>
  </si>
  <si>
    <t>GPS Faenas y Reverse Geocoding</t>
  </si>
  <si>
    <t>Primeros 28.500 llamados cubiertos por crédito $200 USD</t>
  </si>
  <si>
    <t>Servicios de Respaldo y Telemetría</t>
  </si>
  <si>
    <t>Monitoreo Sentry &amp; Backups diarios</t>
  </si>
  <si>
    <t>Monitoreo de excepciones y respaldos off-site</t>
  </si>
  <si>
    <t>Total Consumo Cloud &amp; APIs en Producción (CLP)</t>
  </si>
  <si>
    <t>Costo Variable Directo</t>
  </si>
  <si>
    <t>Costo Tecnológico Directo según Obras Activas</t>
  </si>
  <si>
    <t>Concepto de Gasto Operacional</t>
  </si>
  <si>
    <t>Modalidad de Contratación</t>
  </si>
  <si>
    <t>Detalle / Proveedor Seleccionado</t>
  </si>
  <si>
    <t>Constitución de Sociedad SpA (Firma/Notaría)</t>
  </si>
  <si>
    <t>Gasto Pre-operativo Único</t>
  </si>
  <si>
    <t>Formalización legal en Tu Empresa en un Día</t>
  </si>
  <si>
    <t>Registro de Marca ObraTrack en INAPI</t>
  </si>
  <si>
    <t>Protección de propiedad intelectual (Clases 9 y 42)</t>
  </si>
  <si>
    <t>Oficina Virtual y Domicilio Tributario</t>
  </si>
  <si>
    <t>Mensual (Virtual Pyme / Providencia)</t>
  </si>
  <si>
    <t>Dirección comercial, recepción SII y patentes</t>
  </si>
  <si>
    <t>Outsourcing Contable &amp; Tributario (Contador)</t>
  </si>
  <si>
    <t>Mensual (Estudio Contable PYME)</t>
  </si>
  <si>
    <t>Declaraciones mensuales F29, Balance y Renta SII</t>
  </si>
  <si>
    <t>Gastos de Visitas Técnicas &amp; Terreno (Transporte)</t>
  </si>
  <si>
    <t>Mensual (Combustible / Movilización)</t>
  </si>
  <si>
    <t>Visitas de onboarding a faenas y capataces</t>
  </si>
  <si>
    <t>Insumos de Oficina, Red &amp; Papelería Técnica</t>
  </si>
  <si>
    <t>Mensual</t>
  </si>
  <si>
    <t>Material corporativo, folletería de faena</t>
  </si>
  <si>
    <t>Total Insumos &amp; Gastos Generales (CLP)</t>
  </si>
  <si>
    <t>Gastos Administrativos</t>
  </si>
  <si>
    <t>Gastos Operacionales y Pre-operativos</t>
  </si>
  <si>
    <t>Línea de Servicio / Plan Comercial</t>
  </si>
  <si>
    <t>Mix Ventas (%)</t>
  </si>
  <si>
    <t>Precio Mensual Neto (CLP)</t>
  </si>
  <si>
    <t>Plan Gratis (1 Obra activa, Freemium permanente)</t>
  </si>
  <si>
    <t>Plan Pro ($9.990 - $14.990 / Obras ilimitadas, APU Gemini)</t>
  </si>
  <si>
    <t>Plan Pro IA ($19.990 - $29.990 / WhatsApp Bot, Gemini Pro)</t>
  </si>
  <si>
    <t>Precio Mensual Promedio Ponderado por Cliente (CLP)</t>
  </si>
  <si>
    <t>Proyección de Clientes Activos (Suscripciones)</t>
  </si>
  <si>
    <t>Unidad</t>
  </si>
  <si>
    <t>Usuarios Activos Plan Gratis (Funnel Freemium)</t>
  </si>
  <si>
    <t>PYMEs</t>
  </si>
  <si>
    <t>Clientes Plan Pro (50% de pago)</t>
  </si>
  <si>
    <t>Clientes Plan Pro IA (50% de pago)</t>
  </si>
  <si>
    <t>Total Clientes Activos de Pago (Cartera Anual)</t>
  </si>
  <si>
    <t>Ingresos Operacionales Proyectados (CLP)</t>
  </si>
  <si>
    <t>Total Facturación Anual Neta SaaS (CLP)</t>
  </si>
  <si>
    <t>ANÁLISIS DE PUNTO DE EQUILIBRIO OPERACIONAL (BREAK-EVEN)</t>
  </si>
  <si>
    <t>Costos Fijos Operativos Anuales (CLP)</t>
  </si>
  <si>
    <t>Margen de Contribución Unitario Anual por Cliente (CLP)</t>
  </si>
  <si>
    <t>Punto de Equilibrio en Clientes Activos (Q* = CF / MCU)</t>
  </si>
  <si>
    <t>Clientes</t>
  </si>
  <si>
    <t>Estado Frente al Punto de Equilibrio</t>
  </si>
  <si>
    <t>Condición</t>
  </si>
  <si>
    <t>Fase de Adopción (95 Clientes)</t>
  </si>
  <si>
    <t>Superado en Año 2 (210 Clientes)</t>
  </si>
  <si>
    <t>Superado Ampliamente</t>
  </si>
  <si>
    <t>Madurez y Alta Rentabilidad</t>
  </si>
  <si>
    <t>Categoría de Inversión</t>
  </si>
  <si>
    <t>Detalle del Ítem Invertido</t>
  </si>
  <si>
    <t>Monto Inversión (CLP)</t>
  </si>
  <si>
    <t>Fuente / Referencia de Hoja</t>
  </si>
  <si>
    <t>Destino / Rol Estratégico</t>
  </si>
  <si>
    <t>Activos Fijos (Físicos)</t>
  </si>
  <si>
    <t>Equipamiento Computacional Año 0 (PC + Notebook)</t>
  </si>
  <si>
    <t>Hoja 3. Maquinaria</t>
  </si>
  <si>
    <t>Hardware de desarrollo y arquitectura</t>
  </si>
  <si>
    <t>Smartphone Android Test Terreno (Samsung A35)</t>
  </si>
  <si>
    <t>Pruebas WhatsApp Cloud API y GPS</t>
  </si>
  <si>
    <t>Monitores 27" IPS para Estaciones (2 Monitores)</t>
  </si>
  <si>
    <t>Productividad y programación paralela</t>
  </si>
  <si>
    <t>Subtotal Activos Fijos</t>
  </si>
  <si>
    <t>Total Inversión Física Tangible en Año 0</t>
  </si>
  <si>
    <t>Depreciable tributariamente según SII</t>
  </si>
  <si>
    <t>Activos Intangibles</t>
  </si>
  <si>
    <t>Constitución Legal de Sociedad SpA (Firma, Notaría)</t>
  </si>
  <si>
    <t>Hoja 6. Gastos Gen</t>
  </si>
  <si>
    <t>Formalización jurídica de ObraTrack SpA</t>
  </si>
  <si>
    <t>Registro de Marca ObraTrack en INAPI (Clases 9 y 42)</t>
  </si>
  <si>
    <t>Protección intelectual de marca y software</t>
  </si>
  <si>
    <t>Software &amp; Licencias de Desarrollo Año 0</t>
  </si>
  <si>
    <t>Hoja 4. Software</t>
  </si>
  <si>
    <t>Google AI Pro, Movistar, Dominio, GitHub, etc.</t>
  </si>
  <si>
    <t>Subtotal Activos Intangibles</t>
  </si>
  <si>
    <t>Total Inversión Intangible Pre-operativa</t>
  </si>
  <si>
    <t>Activo nominal amortizable</t>
  </si>
  <si>
    <t>Capital de Trabajo (KT)</t>
  </si>
  <si>
    <t>Mano de Obra 2 Fundadores en Año 0 (6 Meses)</t>
  </si>
  <si>
    <t>Hoja 2. Mano de Obra</t>
  </si>
  <si>
    <t>Sueldos pre-operativos de los 2 fundadores</t>
  </si>
  <si>
    <t>Fondo de Cobertura de Operación Inicial (Reserva Caja)</t>
  </si>
  <si>
    <t>Reserva de Liquidez</t>
  </si>
  <si>
    <t>Cobertura de desfase de ingresos Año 1</t>
  </si>
  <si>
    <t>Subtotal Capital de Trabajo</t>
  </si>
  <si>
    <t>Total Capital de Trabajo Requerido (KT)</t>
  </si>
  <si>
    <t>Recuperable al 100% en Año 4</t>
  </si>
  <si>
    <t>TOTAL INVERSIÓN INICIAL (AÑO 0)</t>
  </si>
  <si>
    <t>Inversión Total Previa a Puesta en Marcha</t>
  </si>
  <si>
    <t>Financiamiento Total Requerido para Iniciar</t>
  </si>
  <si>
    <t>Cargo Operacional</t>
  </si>
  <si>
    <t>Modalidad / Tipo Contrato</t>
  </si>
  <si>
    <t>Funciones Clave en Operación</t>
  </si>
  <si>
    <t>Dirección general, arquitectura Next.js y APIs</t>
  </si>
  <si>
    <t>Desarrollo web, base de datos Supabase y DevOps</t>
  </si>
  <si>
    <t>Soporte Técnico &amp; Onboarding Terreno (Año 2)</t>
  </si>
  <si>
    <t>Indefinido (Onboarding y WhatsApp)</t>
  </si>
  <si>
    <t>Capacitación a capataces y soporte cuadrillas</t>
  </si>
  <si>
    <t>Ejecutivo Comercial B2B (Año 3)</t>
  </si>
  <si>
    <t>Indefinido (Base + Leyes)</t>
  </si>
  <si>
    <t>Prospección en constructoras y ferias de construcción</t>
  </si>
  <si>
    <t>Comisiones Comerciales por Ventas (5%)</t>
  </si>
  <si>
    <t>Variable (% sobre Ventas Netas)</t>
  </si>
  <si>
    <t>5% de incentivo por ventas netas facturadas</t>
  </si>
  <si>
    <t>Total Costo Personal Operativo &amp; Ventas (CLP)</t>
  </si>
  <si>
    <t>Mano de Obra Fase Operativa</t>
  </si>
  <si>
    <t>Ítem del Flujo de Fondos (CLP)</t>
  </si>
  <si>
    <t>Referencia / Fórmula</t>
  </si>
  <si>
    <t>(+) Ingresos Operacionales por Suscripciones SaaS</t>
  </si>
  <si>
    <t>Hoja 7. Demanda &amp; Ingresos</t>
  </si>
  <si>
    <t>(-) Costos Variables Cloud &amp; APIs</t>
  </si>
  <si>
    <t>Hoja 5. Infraestructura Cloud</t>
  </si>
  <si>
    <t>(-) Comisiones Pasarela de Pago (2.5% Ventas)</t>
  </si>
  <si>
    <t>2.5% arancel Transbank Webpay Plus</t>
  </si>
  <si>
    <t>(-) Comisiones Equipo Comercial (5% Ventas)</t>
  </si>
  <si>
    <t>Hoja 9. Personal Operativo</t>
  </si>
  <si>
    <t>(-) Costos Fijos de Personal Operativo (Sueldos)</t>
  </si>
  <si>
    <t>Hoja 2. Mano de Obra Operativa</t>
  </si>
  <si>
    <t>(-) Insumos, Oficina Virtual &amp; Contador</t>
  </si>
  <si>
    <t>Hoja 6. Gastos Generales</t>
  </si>
  <si>
    <t>(-) Software &amp; Licencias de Producción</t>
  </si>
  <si>
    <t>Hoja 4. Licencias TI</t>
  </si>
  <si>
    <t>(-) Depreciación Maquinaria &amp; Equipos</t>
  </si>
  <si>
    <t>Hoja 3. Depreciación SII</t>
  </si>
  <si>
    <t>(=) UTILIDAD ANTES DE IMPUESTOS (UAI)</t>
  </si>
  <si>
    <t>Ingresos - Costos y Gastos</t>
  </si>
  <si>
    <t>(-) Impuesto a la Renta de 1ª Categoría (27%)</t>
  </si>
  <si>
    <t>SII 27% (si UAI &gt; 0)</t>
  </si>
  <si>
    <t>(=) UTILIDAD DESPUÉS DE IMPUESTOS (UDI)</t>
  </si>
  <si>
    <t>UAI - Impuestos</t>
  </si>
  <si>
    <t>(+) Ajuste por Depreciación (Gasto No Desembolsable)</t>
  </si>
  <si>
    <t>Reverso gasto contable</t>
  </si>
  <si>
    <t>(-) Inversión Activos Fijos e Intangibles</t>
  </si>
  <si>
    <t>Año 0 Físico/Intangible + Año 1 Equipos</t>
  </si>
  <si>
    <t>(-) Inversión en Capital de Trabajo</t>
  </si>
  <si>
    <t>Año 0 2 Fundadores + Reserva</t>
  </si>
  <si>
    <t>(+) Recuperación de Capital de Trabajo</t>
  </si>
  <si>
    <t>Fin horizonte Año 4 (100% liberado)</t>
  </si>
  <si>
    <t>(+) Valor de Salvamento / Desecho de Activos</t>
  </si>
  <si>
    <t>Valor residual en mercado Año 4</t>
  </si>
  <si>
    <t>(=) FLUJO NETO DE FONDOS (FNF / CASH FLOW)</t>
  </si>
  <si>
    <t>Flujo de Caja Libre Neto</t>
  </si>
  <si>
    <t>INDICADORES FINANCIEROS DE EVALUACIÓN ECONÓMICA</t>
  </si>
  <si>
    <t>CRITERIO DE DECISIÓN</t>
  </si>
  <si>
    <t>Tasa de Descuento del Proyecto (CAPM - Ke)</t>
  </si>
  <si>
    <t>Tasa exigida por riesgo del sector TI (11% - 15%)</t>
  </si>
  <si>
    <t>Valor Actual Neto (VAN / NPV)</t>
  </si>
  <si>
    <t>VAN &gt; 0 : Proyecto Altamente Rentable y Viable</t>
  </si>
  <si>
    <t>Tasa Interna de Retorno (TIR / IRR)</t>
  </si>
  <si>
    <t>TIR &gt; Ke : Retorno supera holgadamente el costo de capital</t>
  </si>
  <si>
    <t>Período de Recuperación de Inversión (PRI Simple)</t>
  </si>
  <si>
    <t>Año 3 (Mes 3)</t>
  </si>
  <si>
    <t>Recuperación total de inversión durante el 3er año</t>
  </si>
  <si>
    <t>Retorno sobre la Inversión (ROI Acumulado)</t>
  </si>
  <si>
    <t>ROI &gt; 500% generado en el horizonte de 4 años</t>
  </si>
  <si>
    <t>Flujo Acumulado para Cálculo de Payback (PRI)</t>
  </si>
  <si>
    <t>Estado de Recuperación</t>
  </si>
  <si>
    <t>Flujo Neto Acumulado (CLP)</t>
  </si>
  <si>
    <t>Inversión Recuperada con Holgura en Año 3</t>
  </si>
  <si>
    <t>ANÁLISIS DE SENSIBILIDAD POR ESCENARIO</t>
  </si>
  <si>
    <t>Variación Demanda</t>
  </si>
  <si>
    <t>VAN Estimado (CLP)</t>
  </si>
  <si>
    <t>TIR Estimada (%)</t>
  </si>
  <si>
    <t>PRI Estimado</t>
  </si>
  <si>
    <t>Resultado</t>
  </si>
  <si>
    <t>Estrategia de Mitigación</t>
  </si>
  <si>
    <t>Escenario Pesimista (-20% Demanda / Clientes)</t>
  </si>
  <si>
    <t>-20.0%</t>
  </si>
  <si>
    <t>Año 3 (Mes 8)</t>
  </si>
  <si>
    <t>Altamente Rentable</t>
  </si>
  <si>
    <t>Ajuste de presupuesto publicitario y foco en retención de contratistas</t>
  </si>
  <si>
    <t>Escenario Base (Proyección Normal ObraTrack)</t>
  </si>
  <si>
    <t>0.0%</t>
  </si>
  <si>
    <t>Excepcional Rentabilidad y Viabilidad</t>
  </si>
  <si>
    <t>Ejecución del plan comercial estándar en Región Metropolitana</t>
  </si>
  <si>
    <t>Escenario Optimista (+20% Demanda / Clientes)</t>
  </si>
  <si>
    <t>+20.0%</t>
  </si>
  <si>
    <t>Año 2 (Mes 10)</t>
  </si>
  <si>
    <t>Máxima Rentabilidad</t>
  </si>
  <si>
    <t>Aceleración de cuadrillas y expansión a mercados de Perú/Colombia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</si>
</sst>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#,##0"/>
    <numFmt numFmtId="165" formatCode="&quot;US$&quot;#,##0.00"/>
    <numFmt numFmtId="166" formatCode="0.0%"/>
    <numFmt numFmtId="167" formatCode="&quot;$&quot;#,##0;[Red]-&quot;$&quot;#,##0;&quot;$0&quot;"/>
    <numFmt numFmtId="168" formatCode="0.00&quot;x&quot;"/>
  </numFmts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Segoe UI"/>
    </font>
    <font>
      <b/>
      <color rgb="166534"/>
      <sz val="10"/>
      <name val="Segoe UI"/>
    </font>
    <font>
      <b/>
      <color rgb="FFFFFF"/>
      <sz val="11"/>
      <name val="Segoe UI"/>
    </font>
    <font>
      <b/>
      <color rgb="1E40AF"/>
      <sz val="9"/>
      <name val="Segoe UI"/>
    </font>
    <font>
      <b/>
      <sz val="9"/>
      <name val="Segoe UI"/>
    </font>
    <font>
      <sz val="9"/>
      <name val="Segoe UI"/>
    </font>
    <font>
      <b/>
      <sz val="10"/>
      <name val="Segoe UI"/>
    </font>
    <font>
      <b/>
      <color rgb="166534"/>
      <sz val="11"/>
      <name val="Segoe UI"/>
    </font>
  </fonts>
  <fills count="9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8FAFC"/>
      </patternFill>
    </fill>
    <fill>
      <patternFill patternType="solid">
        <fgColor rgb="DCFCE7"/>
      </patternFill>
    </fill>
    <fill>
      <patternFill patternType="solid">
        <fgColor rgb="1E293B"/>
      </patternFill>
    </fill>
    <fill>
      <patternFill patternType="solid">
        <fgColor rgb="EFF6FF"/>
      </patternFill>
    </fill>
    <fill>
      <patternFill patternType="solid">
        <fgColor rgb="E2E8F0"/>
      </patternFill>
    </fill>
    <fill>
      <patternFill patternType="solid">
        <fgColor rgb="FEE2E2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475569"/>
      </top>
      <bottom style="double">
        <color rgb="475569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10" fontId="0" fillId="3" borderId="1" xfId="0" applyNumberFormat="1" applyFill="1" applyBorder="1" applyAlignment="1">
      <alignment horizontal="right" vertical="center"/>
    </xf>
    <xf numFmtId="10" fontId="0" fillId="0" borderId="1" xfId="0" applyNumberFormat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2" fontId="0" fillId="3" borderId="1" xfId="0" applyNumberForma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right" vertical="center"/>
    </xf>
    <xf numFmtId="0" fontId="3" fillId="5" borderId="0" xfId="0" applyFont="1" applyFill="1"/>
    <xf numFmtId="0" fontId="4" fillId="6" borderId="1" xfId="0" applyFont="1" applyFill="1" applyBorder="1"/>
    <xf numFmtId="0" fontId="5" fillId="6" borderId="1" xfId="0" applyFont="1" applyFill="1" applyBorder="1"/>
    <xf numFmtId="0" fontId="6" fillId="6" borderId="1" xfId="0" applyFont="1" applyFill="1" applyBorder="1"/>
    <xf numFmtId="0" fontId="1" fillId="5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right" vertical="center"/>
    </xf>
    <xf numFmtId="0" fontId="7" fillId="7" borderId="2" xfId="0" applyFont="1" applyFill="1" applyBorder="1"/>
    <xf numFmtId="164" fontId="7" fillId="7" borderId="2" xfId="0" applyNumberFormat="1" applyFont="1" applyFill="1" applyBorder="1"/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right" vertical="center"/>
    </xf>
    <xf numFmtId="0" fontId="7" fillId="7" borderId="1" xfId="0" applyFont="1" applyFill="1" applyBorder="1"/>
    <xf numFmtId="164" fontId="7" fillId="7" borderId="1" xfId="0" applyNumberFormat="1" applyFont="1" applyFill="1" applyBorder="1"/>
    <xf numFmtId="0" fontId="0" fillId="0" borderId="1" xfId="0" applyBorder="1"/>
    <xf numFmtId="165" fontId="0" fillId="0" borderId="1" xfId="0" applyNumberFormat="1" applyBorder="1" applyAlignment="1">
      <alignment horizontal="right" vertical="center"/>
    </xf>
    <xf numFmtId="165" fontId="0" fillId="3" borderId="1" xfId="0" applyNumberFormat="1" applyFill="1" applyBorder="1" applyAlignment="1">
      <alignment horizontal="right" vertical="center"/>
    </xf>
    <xf numFmtId="166" fontId="0" fillId="0" borderId="1" xfId="0" applyNumberFormat="1" applyBorder="1" applyAlignment="1">
      <alignment horizontal="center" vertical="center"/>
    </xf>
    <xf numFmtId="0" fontId="1" fillId="5" borderId="1" xfId="0" applyFont="1" applyFill="1" applyBorder="1"/>
    <xf numFmtId="166" fontId="1" fillId="5" borderId="1" xfId="0" applyNumberFormat="1" applyFont="1" applyFill="1" applyBorder="1"/>
    <xf numFmtId="164" fontId="1" fillId="5" borderId="1" xfId="0" applyNumberFormat="1" applyFont="1" applyFill="1" applyBorder="1"/>
    <xf numFmtId="0" fontId="0" fillId="3" borderId="1" xfId="0" applyFill="1" applyBorder="1"/>
    <xf numFmtId="0" fontId="7" fillId="7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center" vertical="center"/>
    </xf>
    <xf numFmtId="3" fontId="7" fillId="7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/>
    <xf numFmtId="164" fontId="2" fillId="4" borderId="2" xfId="0" applyNumberFormat="1" applyFont="1" applyFill="1" applyBorder="1"/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3" fontId="7" fillId="7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1" fillId="5" borderId="1" xfId="0" applyFont="1" applyFill="1" applyBorder="1" applyAlignment="1">
      <alignment horizontal="left" vertical="center"/>
    </xf>
    <xf numFmtId="164" fontId="1" fillId="5" borderId="1" xfId="0" applyNumberFormat="1" applyFont="1" applyFill="1" applyBorder="1" applyAlignment="1">
      <alignment horizontal="right" vertical="center"/>
    </xf>
    <xf numFmtId="0" fontId="8" fillId="4" borderId="2" xfId="0" applyFont="1" applyFill="1" applyBorder="1"/>
    <xf numFmtId="164" fontId="8" fillId="4" borderId="2" xfId="0" applyNumberFormat="1" applyFont="1" applyFill="1" applyBorder="1"/>
    <xf numFmtId="167" fontId="0" fillId="0" borderId="1" xfId="0" applyNumberFormat="1" applyBorder="1" applyAlignment="1">
      <alignment horizontal="right" vertical="center"/>
    </xf>
    <xf numFmtId="167" fontId="0" fillId="3" borderId="1" xfId="0" applyNumberForma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167" fontId="7" fillId="7" borderId="0" xfId="0" applyNumberFormat="1" applyFont="1" applyFill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167" fontId="3" fillId="2" borderId="2" xfId="0" applyNumberFormat="1" applyFont="1" applyFill="1" applyBorder="1" applyAlignment="1">
      <alignment horizontal="right" vertical="center"/>
    </xf>
    <xf numFmtId="0" fontId="2" fillId="4" borderId="1" xfId="0" applyFont="1" applyFill="1" applyBorder="1"/>
    <xf numFmtId="164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168" fontId="2" fillId="4" borderId="1" xfId="0" applyNumberFormat="1" applyFont="1" applyFill="1" applyBorder="1" applyAlignment="1">
      <alignment horizontal="right" vertical="center"/>
    </xf>
    <xf numFmtId="167" fontId="7" fillId="7" borderId="1" xfId="0" applyNumberFormat="1" applyFont="1" applyFill="1" applyBorder="1" applyAlignment="1">
      <alignment horizontal="right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167" fontId="0" fillId="8" borderId="1" xfId="0" applyNumberFormat="1" applyFill="1" applyBorder="1" applyAlignment="1">
      <alignment horizontal="right" vertical="center"/>
    </xf>
    <xf numFmtId="10" fontId="0" fillId="8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right" vertical="center"/>
    </xf>
    <xf numFmtId="10" fontId="0" fillId="4" borderId="1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4" customWidth="1"/>
    <col min="3" max="4" width="18" customWidth="1"/>
    <col min="5" max="5" width="52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" customHeight="1" spans="1:5" x14ac:dyDescent="0.25">
      <c r="A2" s="2" t="s">
        <v>5</v>
      </c>
      <c r="B2" s="3" t="s">
        <v>6</v>
      </c>
      <c r="C2" s="4">
        <v>4</v>
      </c>
      <c r="D2" s="3" t="s">
        <v>7</v>
      </c>
      <c r="E2" s="2" t="s">
        <v>8</v>
      </c>
    </row>
    <row r="3" ht="22" customHeight="1" spans="1:5" x14ac:dyDescent="0.25">
      <c r="A3" s="5" t="s">
        <v>9</v>
      </c>
      <c r="B3" s="6" t="s">
        <v>10</v>
      </c>
      <c r="C3" s="7">
        <v>2026</v>
      </c>
      <c r="D3" s="6" t="s">
        <v>11</v>
      </c>
      <c r="E3" s="5" t="s">
        <v>12</v>
      </c>
    </row>
    <row r="4" ht="22" customHeight="1" spans="1:5" x14ac:dyDescent="0.25">
      <c r="A4" s="2" t="s">
        <v>13</v>
      </c>
      <c r="B4" s="3" t="s">
        <v>14</v>
      </c>
      <c r="C4" s="4">
        <v>2027</v>
      </c>
      <c r="D4" s="3" t="s">
        <v>11</v>
      </c>
      <c r="E4" s="2" t="s">
        <v>15</v>
      </c>
    </row>
    <row r="5" ht="22" customHeight="1" spans="1:5" x14ac:dyDescent="0.25">
      <c r="A5" s="5" t="s">
        <v>16</v>
      </c>
      <c r="B5" s="6" t="s">
        <v>17</v>
      </c>
      <c r="C5" s="7">
        <v>2028</v>
      </c>
      <c r="D5" s="6" t="s">
        <v>11</v>
      </c>
      <c r="E5" s="5" t="s">
        <v>18</v>
      </c>
    </row>
    <row r="6" ht="22" customHeight="1" spans="1:5" x14ac:dyDescent="0.25">
      <c r="A6" s="2" t="s">
        <v>19</v>
      </c>
      <c r="B6" s="3" t="s">
        <v>20</v>
      </c>
      <c r="C6" s="4">
        <v>2029</v>
      </c>
      <c r="D6" s="3" t="s">
        <v>11</v>
      </c>
      <c r="E6" s="2" t="s">
        <v>21</v>
      </c>
    </row>
    <row r="7" ht="22" customHeight="1" spans="1:5" x14ac:dyDescent="0.25">
      <c r="A7" s="5" t="s">
        <v>22</v>
      </c>
      <c r="B7" s="6" t="s">
        <v>23</v>
      </c>
      <c r="C7" s="7">
        <v>2030</v>
      </c>
      <c r="D7" s="6" t="s">
        <v>11</v>
      </c>
      <c r="E7" s="5" t="s">
        <v>24</v>
      </c>
    </row>
    <row r="8" ht="22" customHeight="1" spans="1:5" x14ac:dyDescent="0.25">
      <c r="A8" s="2" t="s">
        <v>25</v>
      </c>
      <c r="B8" s="3" t="s">
        <v>26</v>
      </c>
      <c r="C8" s="8">
        <v>0.038</v>
      </c>
      <c r="D8" s="3" t="s">
        <v>27</v>
      </c>
      <c r="E8" s="2" t="s">
        <v>28</v>
      </c>
    </row>
    <row r="9" ht="22" customHeight="1" spans="1:5" x14ac:dyDescent="0.25">
      <c r="A9" s="5" t="s">
        <v>29</v>
      </c>
      <c r="B9" s="6" t="s">
        <v>30</v>
      </c>
      <c r="C9" s="9">
        <v>0.27</v>
      </c>
      <c r="D9" s="6" t="s">
        <v>31</v>
      </c>
      <c r="E9" s="5" t="s">
        <v>32</v>
      </c>
    </row>
    <row r="10" ht="22" customHeight="1" spans="1:5" x14ac:dyDescent="0.25">
      <c r="A10" s="2" t="s">
        <v>33</v>
      </c>
      <c r="B10" s="3" t="s">
        <v>34</v>
      </c>
      <c r="C10" s="10">
        <v>940</v>
      </c>
      <c r="D10" s="3" t="s">
        <v>35</v>
      </c>
      <c r="E10" s="2" t="s">
        <v>36</v>
      </c>
    </row>
    <row r="11" ht="22" customHeight="1" spans="1:5" x14ac:dyDescent="0.25">
      <c r="A11" s="5" t="s">
        <v>37</v>
      </c>
      <c r="B11" s="6" t="s">
        <v>38</v>
      </c>
      <c r="C11" s="9">
        <v>0.04</v>
      </c>
      <c r="D11" s="6" t="s">
        <v>39</v>
      </c>
      <c r="E11" s="5" t="s">
        <v>40</v>
      </c>
    </row>
    <row r="12" ht="22" customHeight="1" spans="1:5" x14ac:dyDescent="0.25">
      <c r="A12" s="2" t="s">
        <v>41</v>
      </c>
      <c r="B12" s="3" t="s">
        <v>42</v>
      </c>
      <c r="C12" s="11">
        <v>1.25</v>
      </c>
      <c r="D12" s="3" t="s">
        <v>43</v>
      </c>
      <c r="E12" s="2" t="s">
        <v>44</v>
      </c>
    </row>
    <row r="13" ht="22" customHeight="1" spans="1:5" x14ac:dyDescent="0.25">
      <c r="A13" s="5" t="s">
        <v>45</v>
      </c>
      <c r="B13" s="6" t="s">
        <v>46</v>
      </c>
      <c r="C13" s="9">
        <v>0.06</v>
      </c>
      <c r="D13" s="6" t="s">
        <v>47</v>
      </c>
      <c r="E13" s="5" t="s">
        <v>48</v>
      </c>
    </row>
    <row r="14" ht="22" customHeight="1" spans="1:5" x14ac:dyDescent="0.25">
      <c r="A14" s="2" t="s">
        <v>49</v>
      </c>
      <c r="B14" s="3" t="s">
        <v>50</v>
      </c>
      <c r="C14" s="8">
        <v>0.0135</v>
      </c>
      <c r="D14" s="3" t="s">
        <v>51</v>
      </c>
      <c r="E14" s="2" t="s">
        <v>52</v>
      </c>
    </row>
    <row r="15" ht="22" customHeight="1" spans="1:5" x14ac:dyDescent="0.25">
      <c r="A15" s="12" t="s">
        <v>53</v>
      </c>
      <c r="B15" s="13" t="s">
        <v>54</v>
      </c>
      <c r="C15" s="14">
        <f>C11+C12*C13+C14</f>
        <v>0.1285</v>
      </c>
      <c r="D15" s="13" t="s">
        <v>55</v>
      </c>
      <c r="E15" s="12" t="s">
        <v>56</v>
      </c>
    </row>
    <row r="16" ht="22" customHeight="1" spans="1:5" x14ac:dyDescent="0.25">
      <c r="A16" s="2" t="s">
        <v>57</v>
      </c>
      <c r="B16" s="3" t="s">
        <v>58</v>
      </c>
      <c r="C16" s="4">
        <v>3</v>
      </c>
      <c r="D16" s="3" t="s">
        <v>7</v>
      </c>
      <c r="E16" s="2" t="s">
        <v>59</v>
      </c>
    </row>
    <row r="17" ht="22" customHeight="1" spans="1:5" x14ac:dyDescent="0.25">
      <c r="A17" s="5" t="s">
        <v>60</v>
      </c>
      <c r="B17" s="6" t="s">
        <v>61</v>
      </c>
      <c r="C17" s="7">
        <v>2</v>
      </c>
      <c r="D17" s="6" t="s">
        <v>7</v>
      </c>
      <c r="E17" s="5" t="s">
        <v>59</v>
      </c>
    </row>
    <row r="18" ht="22" customHeight="1" spans="1:5" x14ac:dyDescent="0.25">
      <c r="A18" s="2" t="s">
        <v>62</v>
      </c>
      <c r="B18" s="3" t="s">
        <v>63</v>
      </c>
      <c r="C18" s="8">
        <v>0.025</v>
      </c>
      <c r="D18" s="3" t="s">
        <v>64</v>
      </c>
      <c r="E18" s="2" t="s">
        <v>65</v>
      </c>
    </row>
    <row r="19" ht="22" customHeight="1" spans="1:5" x14ac:dyDescent="0.25">
      <c r="A19" s="5" t="s">
        <v>66</v>
      </c>
      <c r="B19" s="6" t="s">
        <v>67</v>
      </c>
      <c r="C19" s="9">
        <v>0.05</v>
      </c>
      <c r="D19" s="6" t="s">
        <v>68</v>
      </c>
      <c r="E19" s="5" t="s">
        <v>69</v>
      </c>
    </row>
    <row r="21" ht="25" customHeight="1" spans="1:5" x14ac:dyDescent="0.25">
      <c r="A21" s="15" t="s">
        <v>70</v>
      </c>
      <c r="B21" s="15"/>
      <c r="C21" s="15"/>
      <c r="D21" s="15"/>
      <c r="E21" s="15"/>
    </row>
    <row r="22" ht="28" customHeight="1" spans="1:5" x14ac:dyDescent="0.25">
      <c r="A22" s="16" t="s">
        <v>71</v>
      </c>
      <c r="B22" s="17" t="s">
        <v>72</v>
      </c>
      <c r="C22" s="18" t="s">
        <v>73</v>
      </c>
      <c r="D22" s="18"/>
      <c r="E22" s="18"/>
    </row>
    <row r="23" ht="28" customHeight="1" spans="1:5" x14ac:dyDescent="0.25">
      <c r="A23" s="16" t="s">
        <v>74</v>
      </c>
      <c r="B23" s="17" t="s">
        <v>75</v>
      </c>
      <c r="C23" s="18" t="s">
        <v>76</v>
      </c>
      <c r="D23" s="18"/>
      <c r="E23" s="18"/>
    </row>
    <row r="24" ht="28" customHeight="1" spans="1:5" x14ac:dyDescent="0.25">
      <c r="A24" s="16" t="s">
        <v>77</v>
      </c>
      <c r="B24" s="17" t="s">
        <v>72</v>
      </c>
      <c r="C24" s="18" t="s">
        <v>78</v>
      </c>
      <c r="D24" s="18"/>
      <c r="E24" s="18"/>
    </row>
  </sheetData>
  <mergeCells count="4">
    <mergeCell ref="A21:E21"/>
    <mergeCell ref="C22:E22"/>
    <mergeCell ref="C23:E23"/>
    <mergeCell ref="C24:E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4" customWidth="1"/>
    <col min="3" max="3" width="8" customWidth="1"/>
    <col min="4" max="4" width="22" customWidth="1"/>
    <col min="5" max="5" width="18" customWidth="1"/>
    <col min="6" max="10" width="20" customWidth="1"/>
  </cols>
  <sheetData>
    <row r="1" ht="28" customHeight="1" spans="1:10" x14ac:dyDescent="0.25">
      <c r="A1" s="19" t="s">
        <v>79</v>
      </c>
      <c r="B1" s="19"/>
      <c r="C1" s="19"/>
      <c r="D1" s="19"/>
      <c r="E1" s="19"/>
      <c r="F1" s="19"/>
      <c r="G1" s="19"/>
      <c r="H1" s="19"/>
      <c r="I1" s="19"/>
      <c r="J1" s="19"/>
    </row>
    <row r="2" ht="28" customHeight="1" spans="1:10" x14ac:dyDescent="0.25">
      <c r="A2" s="1" t="s">
        <v>80</v>
      </c>
      <c r="B2" s="1" t="s">
        <v>81</v>
      </c>
      <c r="C2" s="1" t="s">
        <v>82</v>
      </c>
      <c r="D2" s="1" t="s">
        <v>83</v>
      </c>
      <c r="E2" s="1" t="s">
        <v>84</v>
      </c>
      <c r="F2" s="1" t="s">
        <v>85</v>
      </c>
      <c r="G2" s="1" t="s">
        <v>86</v>
      </c>
      <c r="H2" s="1" t="s">
        <v>87</v>
      </c>
      <c r="I2" s="1" t="s">
        <v>88</v>
      </c>
      <c r="J2" s="1" t="s">
        <v>89</v>
      </c>
    </row>
    <row r="3" ht="22" customHeight="1" spans="1:10" x14ac:dyDescent="0.25">
      <c r="A3" s="5" t="s">
        <v>90</v>
      </c>
      <c r="B3" s="5" t="s">
        <v>91</v>
      </c>
      <c r="C3" s="6">
        <v>1</v>
      </c>
      <c r="D3" s="20">
        <v>700000</v>
      </c>
      <c r="E3" s="20">
        <f>D3*0.045</f>
        <v>31500</v>
      </c>
      <c r="F3" s="20">
        <f>C3*(D3+E3)*6</f>
        <v>4389000</v>
      </c>
      <c r="G3" s="20">
        <v>0</v>
      </c>
      <c r="H3" s="20">
        <v>0</v>
      </c>
      <c r="I3" s="20">
        <v>0</v>
      </c>
      <c r="J3" s="20">
        <v>0</v>
      </c>
    </row>
    <row r="4" ht="22" customHeight="1" spans="1:10" x14ac:dyDescent="0.25">
      <c r="A4" s="5" t="s">
        <v>92</v>
      </c>
      <c r="B4" s="5" t="s">
        <v>91</v>
      </c>
      <c r="C4" s="6">
        <v>1</v>
      </c>
      <c r="D4" s="20">
        <v>700000</v>
      </c>
      <c r="E4" s="20">
        <f>D4*0.045</f>
        <v>31500</v>
      </c>
      <c r="F4" s="20">
        <f>C4*(D4+E4)*6</f>
        <v>4389000</v>
      </c>
      <c r="G4" s="20">
        <v>0</v>
      </c>
      <c r="H4" s="20">
        <v>0</v>
      </c>
      <c r="I4" s="20">
        <v>0</v>
      </c>
      <c r="J4" s="20">
        <v>0</v>
      </c>
    </row>
    <row r="5" ht="24" customHeight="1" spans="1:10" x14ac:dyDescent="0.25">
      <c r="A5" s="21" t="s">
        <v>93</v>
      </c>
      <c r="B5" s="21" t="s">
        <v>94</v>
      </c>
      <c r="C5" s="21">
        <v>2</v>
      </c>
      <c r="D5" s="22">
        <f>SUM(D3:D4)</f>
        <v>1400000</v>
      </c>
      <c r="E5" s="22">
        <f>SUM(E3:E4)</f>
        <v>63000</v>
      </c>
      <c r="F5" s="22">
        <f>SUM(F3:F4)</f>
        <v>8778000</v>
      </c>
      <c r="G5" s="22">
        <v>0</v>
      </c>
      <c r="H5" s="22">
        <v>0</v>
      </c>
      <c r="I5" s="22">
        <v>0</v>
      </c>
      <c r="J5" s="22">
        <v>0</v>
      </c>
    </row>
    <row r="7" ht="28" customHeight="1" spans="1:10" x14ac:dyDescent="0.25">
      <c r="A7" s="19" t="s">
        <v>95</v>
      </c>
      <c r="B7" s="19"/>
      <c r="C7" s="19"/>
      <c r="D7" s="19"/>
      <c r="E7" s="19"/>
      <c r="F7" s="19"/>
      <c r="G7" s="19"/>
      <c r="H7" s="19"/>
      <c r="I7" s="19"/>
      <c r="J7" s="19"/>
    </row>
    <row r="8" ht="28" customHeight="1" spans="1:10" x14ac:dyDescent="0.25">
      <c r="A8" s="1" t="s">
        <v>80</v>
      </c>
      <c r="B8" s="1" t="s">
        <v>81</v>
      </c>
      <c r="C8" s="1" t="s">
        <v>82</v>
      </c>
      <c r="D8" s="1" t="s">
        <v>83</v>
      </c>
      <c r="E8" s="1" t="s">
        <v>84</v>
      </c>
      <c r="F8" s="1" t="s">
        <v>85</v>
      </c>
      <c r="G8" s="1" t="s">
        <v>86</v>
      </c>
      <c r="H8" s="1" t="s">
        <v>87</v>
      </c>
      <c r="I8" s="1" t="s">
        <v>88</v>
      </c>
      <c r="J8" s="1" t="s">
        <v>89</v>
      </c>
    </row>
    <row r="9" ht="22" customHeight="1" spans="1:10" x14ac:dyDescent="0.25">
      <c r="A9" s="5" t="s">
        <v>96</v>
      </c>
      <c r="B9" s="5" t="s">
        <v>97</v>
      </c>
      <c r="C9" s="6">
        <v>1</v>
      </c>
      <c r="D9" s="20">
        <v>650000</v>
      </c>
      <c r="E9" s="20">
        <f>D9*0.045</f>
        <v>29250</v>
      </c>
      <c r="F9" s="20">
        <v>0</v>
      </c>
      <c r="G9" s="20">
        <f>C9*(D9+E9)*12</f>
        <v>8151000</v>
      </c>
      <c r="H9" s="20">
        <f>C9*(800000*(1+0.045))*12</f>
        <v>10032000</v>
      </c>
      <c r="I9" s="20">
        <f>C9*(950000*(1+0.045))*12</f>
        <v>11913000</v>
      </c>
      <c r="J9" s="20">
        <f>C9*(1150000*(1+0.045))*12</f>
        <v>14421000</v>
      </c>
    </row>
    <row r="10" ht="22" customHeight="1" spans="1:10" x14ac:dyDescent="0.25">
      <c r="A10" s="2" t="s">
        <v>98</v>
      </c>
      <c r="B10" s="2" t="s">
        <v>97</v>
      </c>
      <c r="C10" s="3">
        <v>1</v>
      </c>
      <c r="D10" s="10">
        <v>650000</v>
      </c>
      <c r="E10" s="10">
        <f>D10*0.045</f>
        <v>29250</v>
      </c>
      <c r="F10" s="10">
        <v>0</v>
      </c>
      <c r="G10" s="10">
        <f>C10*(D10+E10)*12</f>
        <v>8151000</v>
      </c>
      <c r="H10" s="10">
        <f>C10*(800000*(1+0.045))*12</f>
        <v>10032000</v>
      </c>
      <c r="I10" s="10">
        <f>C10*(950000*(1+0.045))*12</f>
        <v>11913000</v>
      </c>
      <c r="J10" s="10">
        <f>C10*(1150000*(1+0.045))*12</f>
        <v>14421000</v>
      </c>
    </row>
    <row r="11" ht="22" customHeight="1" spans="1:10" x14ac:dyDescent="0.25">
      <c r="A11" s="5" t="s">
        <v>99</v>
      </c>
      <c r="B11" s="5" t="s">
        <v>100</v>
      </c>
      <c r="C11" s="6">
        <v>1</v>
      </c>
      <c r="D11" s="20">
        <v>500000</v>
      </c>
      <c r="E11" s="20">
        <f>D11*0.045</f>
        <v>22500</v>
      </c>
      <c r="F11" s="20">
        <v>0</v>
      </c>
      <c r="G11" s="20">
        <v>0</v>
      </c>
      <c r="H11" s="20">
        <f>C11*(D11+E11)*12</f>
        <v>6270000</v>
      </c>
      <c r="I11" s="20">
        <f>C11*(550000*(1+0.045))*12</f>
        <v>6897000</v>
      </c>
      <c r="J11" s="20">
        <f>C11*(600000*(1+0.045))*12</f>
        <v>7524000</v>
      </c>
    </row>
    <row r="12" ht="22" customHeight="1" spans="1:10" x14ac:dyDescent="0.25">
      <c r="A12" s="2" t="s">
        <v>101</v>
      </c>
      <c r="B12" s="2" t="s">
        <v>102</v>
      </c>
      <c r="C12" s="3">
        <v>1</v>
      </c>
      <c r="D12" s="10">
        <v>550000</v>
      </c>
      <c r="E12" s="10">
        <f>D12*0.045</f>
        <v>24750</v>
      </c>
      <c r="F12" s="10">
        <v>0</v>
      </c>
      <c r="G12" s="10">
        <v>0</v>
      </c>
      <c r="H12" s="10">
        <v>0</v>
      </c>
      <c r="I12" s="10">
        <f>C12*(D12+E12)*12</f>
        <v>6897000</v>
      </c>
      <c r="J12" s="10">
        <f>C12*(600000*(1+0.045))*12</f>
        <v>7524000</v>
      </c>
    </row>
    <row r="13" ht="25" customHeight="1" spans="1:10" x14ac:dyDescent="0.25">
      <c r="A13" s="21" t="s">
        <v>103</v>
      </c>
      <c r="B13" s="21" t="s">
        <v>94</v>
      </c>
      <c r="C13" s="21">
        <f>SUM(C9:C12)</f>
        <v>4</v>
      </c>
      <c r="D13" s="22" t="s">
        <v>94</v>
      </c>
      <c r="E13" s="22" t="s">
        <v>94</v>
      </c>
      <c r="F13" s="22">
        <v>0</v>
      </c>
      <c r="G13" s="22">
        <f>SUM(G9:G12)</f>
        <v>16302000</v>
      </c>
      <c r="H13" s="22">
        <f>SUM(H9:H12)</f>
        <v>26334000</v>
      </c>
      <c r="I13" s="22">
        <f>SUM(I9:I12)</f>
        <v>37620000</v>
      </c>
      <c r="J13" s="22">
        <f>SUM(J9:J12)</f>
        <v>43890000</v>
      </c>
    </row>
  </sheetData>
  <mergeCells count="2">
    <mergeCell ref="A1:J1"/>
    <mergeCell ref="A7:J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0" customWidth="1"/>
    <col min="3" max="3" width="8" customWidth="1"/>
    <col min="4" max="5" width="24" customWidth="1"/>
    <col min="6" max="6" width="14" customWidth="1"/>
    <col min="7" max="8" width="22" customWidth="1"/>
    <col min="9" max="9" width="34" customWidth="1"/>
  </cols>
  <sheetData>
    <row r="1" ht="28" customHeight="1" spans="1:9" x14ac:dyDescent="0.25">
      <c r="A1" s="19" t="s">
        <v>104</v>
      </c>
      <c r="B1" s="19"/>
      <c r="C1" s="19"/>
      <c r="D1" s="19"/>
      <c r="E1" s="19"/>
      <c r="F1" s="19"/>
      <c r="G1" s="19"/>
      <c r="H1" s="19"/>
      <c r="I1" s="19"/>
    </row>
    <row r="2" ht="28" customHeight="1" spans="1:9" x14ac:dyDescent="0.25">
      <c r="A2" s="1" t="s">
        <v>105</v>
      </c>
      <c r="B2" s="1" t="s">
        <v>106</v>
      </c>
      <c r="C2" s="1" t="s">
        <v>82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</row>
    <row r="3" ht="22" customHeight="1" spans="1:9" x14ac:dyDescent="0.25">
      <c r="A3" s="5" t="s">
        <v>113</v>
      </c>
      <c r="B3" s="6" t="s">
        <v>114</v>
      </c>
      <c r="C3" s="6">
        <v>1</v>
      </c>
      <c r="D3" s="20">
        <v>850000</v>
      </c>
      <c r="E3" s="20">
        <f>C3*D3</f>
        <v>850000</v>
      </c>
      <c r="F3" s="6">
        <v>3</v>
      </c>
      <c r="G3" s="20">
        <f>(E3-H3)/F3</f>
        <v>255000</v>
      </c>
      <c r="H3" s="20">
        <v>85000</v>
      </c>
      <c r="I3" s="5" t="s">
        <v>115</v>
      </c>
    </row>
    <row r="4" ht="22" customHeight="1" spans="1:9" x14ac:dyDescent="0.25">
      <c r="A4" s="2" t="s">
        <v>116</v>
      </c>
      <c r="B4" s="3" t="s">
        <v>114</v>
      </c>
      <c r="C4" s="3">
        <v>1</v>
      </c>
      <c r="D4" s="10">
        <v>950000</v>
      </c>
      <c r="E4" s="10">
        <f>C4*D4</f>
        <v>950000</v>
      </c>
      <c r="F4" s="3">
        <v>3</v>
      </c>
      <c r="G4" s="10">
        <f>(E4-H4)/F4</f>
        <v>285000</v>
      </c>
      <c r="H4" s="10">
        <v>95000</v>
      </c>
      <c r="I4" s="2" t="s">
        <v>117</v>
      </c>
    </row>
    <row r="5" ht="22" customHeight="1" spans="1:9" x14ac:dyDescent="0.25">
      <c r="A5" s="5" t="s">
        <v>118</v>
      </c>
      <c r="B5" s="6" t="s">
        <v>119</v>
      </c>
      <c r="C5" s="6">
        <v>1</v>
      </c>
      <c r="D5" s="20">
        <v>180000</v>
      </c>
      <c r="E5" s="20">
        <f>C5*D5</f>
        <v>180000</v>
      </c>
      <c r="F5" s="6">
        <v>2</v>
      </c>
      <c r="G5" s="20">
        <f>(E5-H5)/F5</f>
        <v>80000</v>
      </c>
      <c r="H5" s="20">
        <v>20000</v>
      </c>
      <c r="I5" s="5" t="s">
        <v>120</v>
      </c>
    </row>
    <row r="6" ht="22" customHeight="1" spans="1:9" x14ac:dyDescent="0.25">
      <c r="A6" s="2" t="s">
        <v>121</v>
      </c>
      <c r="B6" s="3" t="s">
        <v>119</v>
      </c>
      <c r="C6" s="3">
        <v>2</v>
      </c>
      <c r="D6" s="10">
        <v>150000</v>
      </c>
      <c r="E6" s="10">
        <f>C6*D6</f>
        <v>300000</v>
      </c>
      <c r="F6" s="3">
        <v>3</v>
      </c>
      <c r="G6" s="10">
        <f>(E6-H6)/F6</f>
        <v>90000</v>
      </c>
      <c r="H6" s="10">
        <v>30000</v>
      </c>
      <c r="I6" s="2" t="s">
        <v>122</v>
      </c>
    </row>
    <row r="7" ht="22" customHeight="1" spans="1:9" x14ac:dyDescent="0.25">
      <c r="A7" s="23" t="s">
        <v>123</v>
      </c>
      <c r="B7" s="24" t="s">
        <v>124</v>
      </c>
      <c r="C7" s="24">
        <v>1</v>
      </c>
      <c r="D7" s="25">
        <v>750000</v>
      </c>
      <c r="E7" s="25">
        <f>C7*D7</f>
        <v>750000</v>
      </c>
      <c r="F7" s="24">
        <v>3</v>
      </c>
      <c r="G7" s="25">
        <f>(E7-H7)/F7</f>
        <v>225000</v>
      </c>
      <c r="H7" s="25">
        <v>75000</v>
      </c>
      <c r="I7" s="23" t="s">
        <v>125</v>
      </c>
    </row>
    <row r="8" ht="22" customHeight="1" spans="1:9" x14ac:dyDescent="0.25">
      <c r="A8" s="23" t="s">
        <v>126</v>
      </c>
      <c r="B8" s="24" t="s">
        <v>124</v>
      </c>
      <c r="C8" s="24">
        <v>1</v>
      </c>
      <c r="D8" s="25">
        <v>150000</v>
      </c>
      <c r="E8" s="25">
        <f>C8*D8</f>
        <v>150000</v>
      </c>
      <c r="F8" s="24">
        <v>2</v>
      </c>
      <c r="G8" s="25">
        <f>(E8-H8)/F8</f>
        <v>67500</v>
      </c>
      <c r="H8" s="25">
        <v>15000</v>
      </c>
      <c r="I8" s="23" t="s">
        <v>127</v>
      </c>
    </row>
    <row r="9" ht="24" customHeight="1" spans="1:9" x14ac:dyDescent="0.25">
      <c r="A9" s="26" t="s">
        <v>128</v>
      </c>
      <c r="B9" s="26" t="s">
        <v>94</v>
      </c>
      <c r="C9" s="26">
        <f>SUM(C3:C6)</f>
        <v>5</v>
      </c>
      <c r="D9" s="27" t="s">
        <v>94</v>
      </c>
      <c r="E9" s="27">
        <f>SUM(E3:E6)</f>
        <v>2280000</v>
      </c>
      <c r="F9" s="26" t="s">
        <v>94</v>
      </c>
      <c r="G9" s="27">
        <f>SUM(G3:G6)</f>
        <v>710000</v>
      </c>
      <c r="H9" s="27">
        <f>SUM(H3:H6)</f>
        <v>230000</v>
      </c>
      <c r="I9" s="26" t="s">
        <v>129</v>
      </c>
    </row>
    <row r="10" ht="24" customHeight="1" spans="1:9" x14ac:dyDescent="0.25">
      <c r="A10" s="26" t="s">
        <v>130</v>
      </c>
      <c r="B10" s="26" t="s">
        <v>94</v>
      </c>
      <c r="C10" s="26">
        <f>SUM(C7:C8)</f>
        <v>2</v>
      </c>
      <c r="D10" s="27" t="s">
        <v>94</v>
      </c>
      <c r="E10" s="27">
        <f>SUM(E7:E8)</f>
        <v>900000</v>
      </c>
      <c r="F10" s="26" t="s">
        <v>94</v>
      </c>
      <c r="G10" s="27">
        <f>SUM(G7:G8)</f>
        <v>292500</v>
      </c>
      <c r="H10" s="27">
        <f>SUM(H7:H8)</f>
        <v>90000</v>
      </c>
      <c r="I10" s="26" t="s">
        <v>131</v>
      </c>
    </row>
    <row r="12" ht="28" customHeight="1" spans="1:9" x14ac:dyDescent="0.25">
      <c r="A12" s="1" t="s">
        <v>132</v>
      </c>
      <c r="B12" s="1" t="s">
        <v>133</v>
      </c>
      <c r="C12" s="1" t="s">
        <v>85</v>
      </c>
      <c r="D12" s="1" t="s">
        <v>86</v>
      </c>
      <c r="E12" s="1" t="s">
        <v>87</v>
      </c>
      <c r="F12" s="1" t="s">
        <v>88</v>
      </c>
      <c r="G12" s="1" t="s">
        <v>89</v>
      </c>
      <c r="H12" s="1" t="s">
        <v>134</v>
      </c>
      <c r="I12" s="1" t="s">
        <v>135</v>
      </c>
    </row>
    <row r="13" ht="22" customHeight="1" spans="1:9" x14ac:dyDescent="0.25">
      <c r="A13" s="5" t="s">
        <v>136</v>
      </c>
      <c r="B13" s="28" t="s">
        <v>133</v>
      </c>
      <c r="C13" s="20">
        <v>0</v>
      </c>
      <c r="D13" s="20">
        <v>710000</v>
      </c>
      <c r="E13" s="20">
        <v>710000</v>
      </c>
      <c r="F13" s="20">
        <v>630000</v>
      </c>
      <c r="G13" s="20">
        <v>0</v>
      </c>
      <c r="H13" s="20">
        <v>230000</v>
      </c>
      <c r="I13" s="20">
        <v>230000</v>
      </c>
    </row>
    <row r="14" ht="22" customHeight="1" spans="1:9" x14ac:dyDescent="0.25">
      <c r="A14" s="5" t="s">
        <v>137</v>
      </c>
      <c r="B14" s="28" t="s">
        <v>133</v>
      </c>
      <c r="C14" s="20">
        <v>0</v>
      </c>
      <c r="D14" s="20">
        <v>292500</v>
      </c>
      <c r="E14" s="20">
        <v>292500</v>
      </c>
      <c r="F14" s="20">
        <v>225000</v>
      </c>
      <c r="G14" s="20">
        <v>225000</v>
      </c>
      <c r="H14" s="20">
        <v>90000</v>
      </c>
      <c r="I14" s="20">
        <v>90000</v>
      </c>
    </row>
    <row r="15" ht="25" customHeight="1" spans="1:9" x14ac:dyDescent="0.25">
      <c r="A15" s="21" t="s">
        <v>138</v>
      </c>
      <c r="B15" s="21" t="s">
        <v>133</v>
      </c>
      <c r="C15" s="22">
        <v>0</v>
      </c>
      <c r="D15" s="22">
        <f>SUM(D13:D14)</f>
        <v>1002500</v>
      </c>
      <c r="E15" s="22">
        <f>SUM(E13:E14)</f>
        <v>1002500</v>
      </c>
      <c r="F15" s="22">
        <f>SUM(F13:F14)</f>
        <v>855000</v>
      </c>
      <c r="G15" s="22">
        <f>SUM(G13:G14)</f>
        <v>225000</v>
      </c>
      <c r="H15" s="22">
        <f>SUM(H13:H14)</f>
        <v>320000</v>
      </c>
      <c r="I15" s="22">
        <f>SUM(I13:I14)</f>
        <v>320000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2" customWidth="1"/>
    <col min="3" max="3" width="14" customWidth="1"/>
    <col min="4" max="4" width="22" customWidth="1"/>
    <col min="5" max="8" width="20" customWidth="1"/>
    <col min="9" max="9" width="40" customWidth="1"/>
  </cols>
  <sheetData>
    <row r="1" ht="28" customHeight="1" spans="1:9" x14ac:dyDescent="0.25">
      <c r="A1" s="19" t="s">
        <v>139</v>
      </c>
      <c r="B1" s="19"/>
      <c r="C1" s="19"/>
      <c r="D1" s="19"/>
      <c r="E1" s="19"/>
      <c r="F1" s="19"/>
      <c r="G1" s="19"/>
      <c r="H1" s="19"/>
      <c r="I1" s="19"/>
    </row>
    <row r="2" ht="28" customHeight="1" spans="1:9" x14ac:dyDescent="0.25">
      <c r="A2" s="1" t="s">
        <v>140</v>
      </c>
      <c r="B2" s="1" t="s">
        <v>81</v>
      </c>
      <c r="C2" s="1" t="s">
        <v>141</v>
      </c>
      <c r="D2" s="1" t="s">
        <v>142</v>
      </c>
      <c r="E2" s="1" t="s">
        <v>86</v>
      </c>
      <c r="F2" s="1" t="s">
        <v>87</v>
      </c>
      <c r="G2" s="1" t="s">
        <v>88</v>
      </c>
      <c r="H2" s="1" t="s">
        <v>89</v>
      </c>
      <c r="I2" s="1" t="s">
        <v>143</v>
      </c>
    </row>
    <row r="3" ht="22" customHeight="1" spans="1:9" x14ac:dyDescent="0.25">
      <c r="A3" s="5" t="s">
        <v>144</v>
      </c>
      <c r="B3" s="5" t="s">
        <v>145</v>
      </c>
      <c r="C3" s="29">
        <v>0</v>
      </c>
      <c r="D3" s="20">
        <v>64800</v>
      </c>
      <c r="E3" s="20">
        <v>64800</v>
      </c>
      <c r="F3" s="20">
        <v>67262</v>
      </c>
      <c r="G3" s="20">
        <v>69818</v>
      </c>
      <c r="H3" s="20">
        <v>72471</v>
      </c>
      <c r="I3" s="5" t="s">
        <v>146</v>
      </c>
    </row>
    <row r="4" ht="22" customHeight="1" spans="1:9" x14ac:dyDescent="0.25">
      <c r="A4" s="2" t="s">
        <v>147</v>
      </c>
      <c r="B4" s="2" t="s">
        <v>148</v>
      </c>
      <c r="C4" s="30">
        <v>0</v>
      </c>
      <c r="D4" s="10">
        <v>179880</v>
      </c>
      <c r="E4" s="10">
        <v>179880</v>
      </c>
      <c r="F4" s="10">
        <v>186715</v>
      </c>
      <c r="G4" s="10">
        <v>193811</v>
      </c>
      <c r="H4" s="10">
        <v>201175</v>
      </c>
      <c r="I4" s="2" t="s">
        <v>149</v>
      </c>
    </row>
    <row r="5" ht="22" customHeight="1" spans="1:9" x14ac:dyDescent="0.25">
      <c r="A5" s="5" t="s">
        <v>150</v>
      </c>
      <c r="B5" s="5" t="s">
        <v>151</v>
      </c>
      <c r="C5" s="29">
        <v>0</v>
      </c>
      <c r="D5" s="20">
        <v>9950</v>
      </c>
      <c r="E5" s="20">
        <v>9950</v>
      </c>
      <c r="F5" s="20">
        <v>10328</v>
      </c>
      <c r="G5" s="20">
        <v>10721</v>
      </c>
      <c r="H5" s="20">
        <v>11128</v>
      </c>
      <c r="I5" s="5" t="s">
        <v>152</v>
      </c>
    </row>
    <row r="6" ht="22" customHeight="1" spans="1:9" x14ac:dyDescent="0.25">
      <c r="A6" s="2" t="s">
        <v>153</v>
      </c>
      <c r="B6" s="2" t="s">
        <v>154</v>
      </c>
      <c r="C6" s="30">
        <v>25</v>
      </c>
      <c r="D6" s="10">
        <v>23500</v>
      </c>
      <c r="E6" s="10">
        <v>0</v>
      </c>
      <c r="F6" s="10">
        <v>0</v>
      </c>
      <c r="G6" s="10">
        <v>0</v>
      </c>
      <c r="H6" s="10">
        <v>0</v>
      </c>
      <c r="I6" s="2" t="s">
        <v>155</v>
      </c>
    </row>
    <row r="7" ht="22" customHeight="1" spans="1:9" x14ac:dyDescent="0.25">
      <c r="A7" s="5" t="s">
        <v>156</v>
      </c>
      <c r="B7" s="5" t="s">
        <v>151</v>
      </c>
      <c r="C7" s="29">
        <v>99</v>
      </c>
      <c r="D7" s="20">
        <v>93060</v>
      </c>
      <c r="E7" s="20">
        <v>93060</v>
      </c>
      <c r="F7" s="20">
        <v>96596</v>
      </c>
      <c r="G7" s="20">
        <v>100267</v>
      </c>
      <c r="H7" s="20">
        <v>104077</v>
      </c>
      <c r="I7" s="5" t="s">
        <v>157</v>
      </c>
    </row>
    <row r="8" ht="22" customHeight="1" spans="1:9" x14ac:dyDescent="0.25">
      <c r="A8" s="2" t="s">
        <v>158</v>
      </c>
      <c r="B8" s="2" t="s">
        <v>159</v>
      </c>
      <c r="C8" s="30">
        <v>38</v>
      </c>
      <c r="D8" s="10">
        <v>214320</v>
      </c>
      <c r="E8" s="10">
        <v>428640</v>
      </c>
      <c r="F8" s="10">
        <v>444928</v>
      </c>
      <c r="G8" s="10">
        <v>461836</v>
      </c>
      <c r="H8" s="10">
        <v>479385</v>
      </c>
      <c r="I8" s="2" t="s">
        <v>160</v>
      </c>
    </row>
    <row r="9" ht="22" customHeight="1" spans="1:9" x14ac:dyDescent="0.25">
      <c r="A9" s="5" t="s">
        <v>161</v>
      </c>
      <c r="B9" s="5" t="s">
        <v>162</v>
      </c>
      <c r="C9" s="29">
        <v>20</v>
      </c>
      <c r="D9" s="20">
        <v>0</v>
      </c>
      <c r="E9" s="20">
        <v>225600</v>
      </c>
      <c r="F9" s="20">
        <v>234173</v>
      </c>
      <c r="G9" s="20">
        <v>243071</v>
      </c>
      <c r="H9" s="20">
        <v>252308</v>
      </c>
      <c r="I9" s="5" t="s">
        <v>163</v>
      </c>
    </row>
    <row r="10" ht="22" customHeight="1" spans="1:9" x14ac:dyDescent="0.25">
      <c r="A10" s="2" t="s">
        <v>164</v>
      </c>
      <c r="B10" s="2" t="s">
        <v>162</v>
      </c>
      <c r="C10" s="30">
        <v>25</v>
      </c>
      <c r="D10" s="10">
        <v>0</v>
      </c>
      <c r="E10" s="10">
        <v>282000</v>
      </c>
      <c r="F10" s="10">
        <v>507600</v>
      </c>
      <c r="G10" s="10">
        <v>902400</v>
      </c>
      <c r="H10" s="10">
        <v>1466400</v>
      </c>
      <c r="I10" s="2" t="s">
        <v>165</v>
      </c>
    </row>
    <row r="11" ht="25" customHeight="1" spans="1:9" x14ac:dyDescent="0.25">
      <c r="A11" s="21" t="s">
        <v>166</v>
      </c>
      <c r="B11" s="21" t="s">
        <v>94</v>
      </c>
      <c r="C11" s="21" t="s">
        <v>94</v>
      </c>
      <c r="D11" s="22">
        <f>SUM(D3:D10)</f>
        <v>585510</v>
      </c>
      <c r="E11" s="22">
        <f>SUM(E3:E10)</f>
        <v>1283930</v>
      </c>
      <c r="F11" s="22">
        <f>SUM(F3:F10)</f>
        <v>1547602</v>
      </c>
      <c r="G11" s="22">
        <f>SUM(G3:G10)</f>
        <v>1981924</v>
      </c>
      <c r="H11" s="22">
        <f>SUM(H3:H10)</f>
        <v>2586944</v>
      </c>
      <c r="I11" s="21" t="s">
        <v>167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8" customWidth="1"/>
    <col min="3" max="6" width="18" customWidth="1"/>
    <col min="7" max="7" width="44" customWidth="1"/>
  </cols>
  <sheetData>
    <row r="1" ht="28" customHeight="1" spans="1:7" x14ac:dyDescent="0.25">
      <c r="A1" s="1" t="s">
        <v>168</v>
      </c>
      <c r="B1" s="1" t="s">
        <v>169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170</v>
      </c>
    </row>
    <row r="2" ht="22" customHeight="1" spans="1:7" x14ac:dyDescent="0.25">
      <c r="A2" s="5" t="s">
        <v>171</v>
      </c>
      <c r="B2" s="5" t="s">
        <v>172</v>
      </c>
      <c r="C2" s="20">
        <v>420000</v>
      </c>
      <c r="D2" s="20">
        <v>1050000</v>
      </c>
      <c r="E2" s="20">
        <v>2100000</v>
      </c>
      <c r="F2" s="20">
        <v>3480000</v>
      </c>
      <c r="G2" s="5" t="s">
        <v>173</v>
      </c>
    </row>
    <row r="3" ht="22" customHeight="1" spans="1:7" x14ac:dyDescent="0.25">
      <c r="A3" s="2" t="s">
        <v>174</v>
      </c>
      <c r="B3" s="2" t="s">
        <v>175</v>
      </c>
      <c r="C3" s="10">
        <v>480000</v>
      </c>
      <c r="D3" s="10">
        <v>1200000</v>
      </c>
      <c r="E3" s="10">
        <v>2400000</v>
      </c>
      <c r="F3" s="10">
        <v>3960000</v>
      </c>
      <c r="G3" s="2" t="s">
        <v>176</v>
      </c>
    </row>
    <row r="4" ht="22" customHeight="1" spans="1:7" x14ac:dyDescent="0.25">
      <c r="A4" s="5" t="s">
        <v>177</v>
      </c>
      <c r="B4" s="5" t="s">
        <v>178</v>
      </c>
      <c r="C4" s="20">
        <v>0</v>
      </c>
      <c r="D4" s="20">
        <v>80000</v>
      </c>
      <c r="E4" s="20">
        <v>160000</v>
      </c>
      <c r="F4" s="20">
        <v>260000</v>
      </c>
      <c r="G4" s="5" t="s">
        <v>179</v>
      </c>
    </row>
    <row r="5" ht="22" customHeight="1" spans="1:7" x14ac:dyDescent="0.25">
      <c r="A5" s="2" t="s">
        <v>180</v>
      </c>
      <c r="B5" s="2" t="s">
        <v>181</v>
      </c>
      <c r="C5" s="10">
        <v>96000</v>
      </c>
      <c r="D5" s="10">
        <v>120000</v>
      </c>
      <c r="E5" s="10">
        <v>180000</v>
      </c>
      <c r="F5" s="10">
        <v>240000</v>
      </c>
      <c r="G5" s="2" t="s">
        <v>182</v>
      </c>
    </row>
    <row r="6" ht="25" customHeight="1" spans="1:7" x14ac:dyDescent="0.25">
      <c r="A6" s="21" t="s">
        <v>183</v>
      </c>
      <c r="B6" s="21" t="s">
        <v>184</v>
      </c>
      <c r="C6" s="22">
        <f>SUM(C2:C5)</f>
        <v>996000</v>
      </c>
      <c r="D6" s="22">
        <f>SUM(D2:D5)</f>
        <v>2450000</v>
      </c>
      <c r="E6" s="22">
        <f>SUM(E2:E5)</f>
        <v>4840000</v>
      </c>
      <c r="F6" s="22">
        <f>SUM(F2:F5)</f>
        <v>7940000</v>
      </c>
      <c r="G6" s="21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4" customWidth="1"/>
    <col min="3" max="7" width="18" customWidth="1"/>
    <col min="8" max="8" width="42" customWidth="1"/>
  </cols>
  <sheetData>
    <row r="1" ht="28" customHeight="1" spans="1:8" x14ac:dyDescent="0.25">
      <c r="A1" s="1" t="s">
        <v>186</v>
      </c>
      <c r="B1" s="1" t="s">
        <v>187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188</v>
      </c>
    </row>
    <row r="2" ht="22" customHeight="1" spans="1:8" x14ac:dyDescent="0.25">
      <c r="A2" s="5" t="s">
        <v>189</v>
      </c>
      <c r="B2" s="5" t="s">
        <v>190</v>
      </c>
      <c r="C2" s="20">
        <v>180000</v>
      </c>
      <c r="D2" s="20">
        <v>0</v>
      </c>
      <c r="E2" s="20">
        <v>0</v>
      </c>
      <c r="F2" s="20">
        <v>0</v>
      </c>
      <c r="G2" s="20">
        <v>0</v>
      </c>
      <c r="H2" s="5" t="s">
        <v>191</v>
      </c>
    </row>
    <row r="3" ht="22" customHeight="1" spans="1:8" x14ac:dyDescent="0.25">
      <c r="A3" s="2" t="s">
        <v>192</v>
      </c>
      <c r="B3" s="2" t="s">
        <v>190</v>
      </c>
      <c r="C3" s="10">
        <v>320000</v>
      </c>
      <c r="D3" s="10">
        <v>0</v>
      </c>
      <c r="E3" s="10">
        <v>0</v>
      </c>
      <c r="F3" s="10">
        <v>0</v>
      </c>
      <c r="G3" s="10">
        <v>0</v>
      </c>
      <c r="H3" s="2" t="s">
        <v>193</v>
      </c>
    </row>
    <row r="4" ht="22" customHeight="1" spans="1:8" x14ac:dyDescent="0.25">
      <c r="A4" s="5" t="s">
        <v>194</v>
      </c>
      <c r="B4" s="5" t="s">
        <v>195</v>
      </c>
      <c r="C4" s="20">
        <v>0</v>
      </c>
      <c r="D4" s="20">
        <v>288000</v>
      </c>
      <c r="E4" s="20">
        <f>D4*(1+'1. Supuestos &amp; Macro'!C8)</f>
        <v>298944</v>
      </c>
      <c r="F4" s="20">
        <f>E4*(1+'1. Supuestos &amp; Macro'!C8)</f>
        <v>310304</v>
      </c>
      <c r="G4" s="20">
        <f>F4*(1+'1. Supuestos &amp; Macro'!C8)</f>
        <v>322095</v>
      </c>
      <c r="H4" s="5" t="s">
        <v>196</v>
      </c>
    </row>
    <row r="5" ht="22" customHeight="1" spans="1:8" x14ac:dyDescent="0.25">
      <c r="A5" s="2" t="s">
        <v>197</v>
      </c>
      <c r="B5" s="2" t="s">
        <v>198</v>
      </c>
      <c r="C5" s="10">
        <v>0</v>
      </c>
      <c r="D5" s="10">
        <v>840000</v>
      </c>
      <c r="E5" s="10">
        <f>D5*(1+'1. Supuestos &amp; Macro'!C8)</f>
        <v>871920</v>
      </c>
      <c r="F5" s="10">
        <f>E5*(1+'1. Supuestos &amp; Macro'!C8)</f>
        <v>905053</v>
      </c>
      <c r="G5" s="10">
        <f>F5*(1+'1. Supuestos &amp; Macro'!C8)</f>
        <v>939445</v>
      </c>
      <c r="H5" s="2" t="s">
        <v>199</v>
      </c>
    </row>
    <row r="6" ht="22" customHeight="1" spans="1:8" x14ac:dyDescent="0.25">
      <c r="A6" s="5" t="s">
        <v>200</v>
      </c>
      <c r="B6" s="5" t="s">
        <v>201</v>
      </c>
      <c r="C6" s="20">
        <v>0</v>
      </c>
      <c r="D6" s="20">
        <v>720000</v>
      </c>
      <c r="E6" s="20">
        <v>1020000</v>
      </c>
      <c r="F6" s="20">
        <v>1320000</v>
      </c>
      <c r="G6" s="20">
        <v>1680000</v>
      </c>
      <c r="H6" s="5" t="s">
        <v>202</v>
      </c>
    </row>
    <row r="7" ht="22" customHeight="1" spans="1:8" x14ac:dyDescent="0.25">
      <c r="A7" s="2" t="s">
        <v>203</v>
      </c>
      <c r="B7" s="2" t="s">
        <v>204</v>
      </c>
      <c r="C7" s="10">
        <v>0</v>
      </c>
      <c r="D7" s="10">
        <v>300000</v>
      </c>
      <c r="E7" s="10">
        <f>D7*(1+'1. Supuestos &amp; Macro'!C8)</f>
        <v>311400</v>
      </c>
      <c r="F7" s="10">
        <f>E7*(1+'1. Supuestos &amp; Macro'!C8)</f>
        <v>323233</v>
      </c>
      <c r="G7" s="10">
        <f>F7*(1+'1. Supuestos &amp; Macro'!C8)</f>
        <v>335516</v>
      </c>
      <c r="H7" s="2" t="s">
        <v>205</v>
      </c>
    </row>
    <row r="8" ht="25" customHeight="1" spans="1:8" x14ac:dyDescent="0.25">
      <c r="A8" s="21" t="s">
        <v>206</v>
      </c>
      <c r="B8" s="21" t="s">
        <v>207</v>
      </c>
      <c r="C8" s="22">
        <f>SUM(C2:C3)</f>
        <v>500000</v>
      </c>
      <c r="D8" s="22">
        <f>SUM(D4:D7)</f>
        <v>2148000</v>
      </c>
      <c r="E8" s="22">
        <f>SUM(E4:E7)</f>
        <v>2502264</v>
      </c>
      <c r="F8" s="22">
        <f>SUM(F4:F7)</f>
        <v>2858590</v>
      </c>
      <c r="G8" s="22">
        <f>SUM(G4:G7)</f>
        <v>3277056</v>
      </c>
      <c r="H8" s="21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4" customWidth="1"/>
    <col min="3" max="3" width="24" customWidth="1"/>
    <col min="4" max="7" width="18" customWidth="1"/>
  </cols>
  <sheetData>
    <row r="1" ht="28" customHeight="1" spans="1:7" x14ac:dyDescent="0.25">
      <c r="A1" s="1" t="s">
        <v>209</v>
      </c>
      <c r="B1" s="1" t="s">
        <v>210</v>
      </c>
      <c r="C1" s="1" t="s">
        <v>211</v>
      </c>
      <c r="D1" s="1" t="s">
        <v>86</v>
      </c>
      <c r="E1" s="1" t="s">
        <v>87</v>
      </c>
      <c r="F1" s="1" t="s">
        <v>88</v>
      </c>
      <c r="G1" s="1" t="s">
        <v>89</v>
      </c>
    </row>
    <row r="2" ht="22" customHeight="1" spans="1:7" x14ac:dyDescent="0.25">
      <c r="A2" s="5" t="s">
        <v>212</v>
      </c>
      <c r="B2" s="31">
        <v>0</v>
      </c>
      <c r="C2" s="20">
        <v>0</v>
      </c>
      <c r="D2" s="6" t="s">
        <v>94</v>
      </c>
      <c r="E2" s="6" t="s">
        <v>94</v>
      </c>
      <c r="F2" s="6" t="s">
        <v>94</v>
      </c>
      <c r="G2" s="6" t="s">
        <v>94</v>
      </c>
    </row>
    <row r="3" ht="22" customHeight="1" spans="1:7" x14ac:dyDescent="0.25">
      <c r="A3" s="5" t="s">
        <v>213</v>
      </c>
      <c r="B3" s="31">
        <v>0.5</v>
      </c>
      <c r="C3" s="20">
        <v>12490</v>
      </c>
      <c r="D3" s="6" t="s">
        <v>94</v>
      </c>
      <c r="E3" s="6" t="s">
        <v>94</v>
      </c>
      <c r="F3" s="6" t="s">
        <v>94</v>
      </c>
      <c r="G3" s="6" t="s">
        <v>94</v>
      </c>
    </row>
    <row r="4" ht="22" customHeight="1" spans="1:7" x14ac:dyDescent="0.25">
      <c r="A4" s="5" t="s">
        <v>214</v>
      </c>
      <c r="B4" s="31">
        <v>0.5</v>
      </c>
      <c r="C4" s="20">
        <v>24990</v>
      </c>
      <c r="D4" s="6" t="s">
        <v>94</v>
      </c>
      <c r="E4" s="6" t="s">
        <v>94</v>
      </c>
      <c r="F4" s="6" t="s">
        <v>94</v>
      </c>
      <c r="G4" s="6" t="s">
        <v>94</v>
      </c>
    </row>
    <row r="5" ht="24" customHeight="1" spans="1:7" x14ac:dyDescent="0.25">
      <c r="A5" s="32" t="s">
        <v>215</v>
      </c>
      <c r="B5" s="33">
        <v>1</v>
      </c>
      <c r="C5" s="34">
        <f>B3*C3+B4*C4</f>
        <v>18740</v>
      </c>
      <c r="D5" s="34">
        <f>C5</f>
        <v>18740</v>
      </c>
      <c r="E5" s="34">
        <f>D5*(1+'1. Supuestos &amp; Macro'!C8)</f>
        <v>19452</v>
      </c>
      <c r="F5" s="34">
        <f>E5*(1+'1. Supuestos &amp; Macro'!C8)</f>
        <v>20191</v>
      </c>
      <c r="G5" s="34">
        <f>F5*(1+'1. Supuestos &amp; Macro'!C8)</f>
        <v>20959</v>
      </c>
    </row>
    <row r="7" ht="28" customHeight="1" spans="1:7" x14ac:dyDescent="0.25">
      <c r="A7" s="1" t="s">
        <v>216</v>
      </c>
      <c r="B7" s="1" t="s">
        <v>133</v>
      </c>
      <c r="C7" s="1" t="s">
        <v>217</v>
      </c>
      <c r="D7" s="1" t="s">
        <v>86</v>
      </c>
      <c r="E7" s="1" t="s">
        <v>87</v>
      </c>
      <c r="F7" s="1" t="s">
        <v>88</v>
      </c>
      <c r="G7" s="1" t="s">
        <v>89</v>
      </c>
    </row>
    <row r="8" ht="22" customHeight="1" spans="1:7" x14ac:dyDescent="0.25">
      <c r="A8" s="5" t="s">
        <v>218</v>
      </c>
      <c r="B8" s="28" t="s">
        <v>133</v>
      </c>
      <c r="C8" s="6" t="s">
        <v>219</v>
      </c>
      <c r="D8" s="7">
        <v>300</v>
      </c>
      <c r="E8" s="7">
        <v>750</v>
      </c>
      <c r="F8" s="7">
        <v>1400</v>
      </c>
      <c r="G8" s="7">
        <v>2200</v>
      </c>
    </row>
    <row r="9" ht="22" customHeight="1" spans="1:7" x14ac:dyDescent="0.25">
      <c r="A9" s="2" t="s">
        <v>220</v>
      </c>
      <c r="B9" s="35" t="s">
        <v>133</v>
      </c>
      <c r="C9" s="3" t="s">
        <v>219</v>
      </c>
      <c r="D9" s="4">
        <f>ROUND(D11*B3,0)</f>
        <v>48</v>
      </c>
      <c r="E9" s="4">
        <f>ROUND(E11*B3,0)</f>
        <v>105</v>
      </c>
      <c r="F9" s="4">
        <f>ROUND(F11*B3,0)</f>
        <v>190</v>
      </c>
      <c r="G9" s="4">
        <f>ROUND(G11*B3,0)</f>
        <v>290</v>
      </c>
    </row>
    <row r="10" ht="22" customHeight="1" spans="1:7" x14ac:dyDescent="0.25">
      <c r="A10" s="5" t="s">
        <v>221</v>
      </c>
      <c r="B10" s="28" t="s">
        <v>133</v>
      </c>
      <c r="C10" s="6" t="s">
        <v>219</v>
      </c>
      <c r="D10" s="7">
        <f>ROUND(D11*B4,0)</f>
        <v>47</v>
      </c>
      <c r="E10" s="7">
        <f>ROUND(E11*B4,0)</f>
        <v>105</v>
      </c>
      <c r="F10" s="7">
        <f>ROUND(F11*B4,0)</f>
        <v>190</v>
      </c>
      <c r="G10" s="7">
        <f>ROUND(G11*B4,0)</f>
        <v>290</v>
      </c>
    </row>
    <row r="11" ht="22" customHeight="1" spans="1:7" x14ac:dyDescent="0.25">
      <c r="A11" s="36" t="s">
        <v>222</v>
      </c>
      <c r="B11" s="21" t="s">
        <v>133</v>
      </c>
      <c r="C11" s="37" t="s">
        <v>219</v>
      </c>
      <c r="D11" s="38">
        <v>95</v>
      </c>
      <c r="E11" s="38">
        <v>210</v>
      </c>
      <c r="F11" s="38">
        <v>380</v>
      </c>
      <c r="G11" s="38">
        <v>580</v>
      </c>
    </row>
    <row r="13" ht="28" customHeight="1" spans="1:7" x14ac:dyDescent="0.25">
      <c r="A13" s="1" t="s">
        <v>223</v>
      </c>
      <c r="B13" s="1" t="s">
        <v>133</v>
      </c>
      <c r="C13" s="1" t="s">
        <v>133</v>
      </c>
      <c r="D13" s="1" t="s">
        <v>86</v>
      </c>
      <c r="E13" s="1" t="s">
        <v>87</v>
      </c>
      <c r="F13" s="1" t="s">
        <v>88</v>
      </c>
      <c r="G13" s="1" t="s">
        <v>89</v>
      </c>
    </row>
    <row r="14" ht="25" customHeight="1" spans="1:7" x14ac:dyDescent="0.25">
      <c r="A14" s="39" t="s">
        <v>224</v>
      </c>
      <c r="B14" s="39" t="s">
        <v>133</v>
      </c>
      <c r="C14" s="39" t="s">
        <v>133</v>
      </c>
      <c r="D14" s="40">
        <f>D11*D5*12</f>
        <v>21363600</v>
      </c>
      <c r="E14" s="40">
        <f>E11*E5*12</f>
        <v>49019342</v>
      </c>
      <c r="F14" s="40">
        <f>F11*F5*12</f>
        <v>92072331</v>
      </c>
      <c r="G14" s="40">
        <f>G11*G5*12</f>
        <v>145871647</v>
      </c>
    </row>
    <row r="16" ht="28" customHeight="1" spans="1:7" x14ac:dyDescent="0.25">
      <c r="A16" s="19" t="s">
        <v>225</v>
      </c>
      <c r="B16" s="19" t="s">
        <v>133</v>
      </c>
      <c r="C16" s="19" t="s">
        <v>133</v>
      </c>
      <c r="D16" s="19" t="s">
        <v>86</v>
      </c>
      <c r="E16" s="19" t="s">
        <v>87</v>
      </c>
      <c r="F16" s="19" t="s">
        <v>88</v>
      </c>
      <c r="G16" s="19" t="s">
        <v>89</v>
      </c>
    </row>
    <row r="17" ht="22" customHeight="1" spans="1:7" x14ac:dyDescent="0.25">
      <c r="A17" s="5" t="s">
        <v>226</v>
      </c>
      <c r="B17" s="28" t="s">
        <v>133</v>
      </c>
      <c r="C17" s="6" t="s">
        <v>133</v>
      </c>
      <c r="D17" s="20">
        <f>'10. Flujo Neto de Fondos'!C6+'10. Flujo Neto de Fondos'!C7+'10. Flujo Neto de Fondos'!C8</f>
        <v>19733930</v>
      </c>
      <c r="E17" s="20">
        <f>'10. Flujo Neto de Fondos'!D6+'10. Flujo Neto de Fondos'!D7+'10. Flujo Neto de Fondos'!D8</f>
        <v>30383866</v>
      </c>
      <c r="F17" s="20">
        <f>'10. Flujo Neto de Fondos'!E6+'10. Flujo Neto de Fondos'!E7+'10. Flujo Neto de Fondos'!E8</f>
        <v>42460514</v>
      </c>
      <c r="G17" s="20">
        <f>'10. Flujo Neto de Fondos'!F6+'10. Flujo Neto de Fondos'!F7+'10. Flujo Neto de Fondos'!F8</f>
        <v>49754000</v>
      </c>
    </row>
    <row r="18" ht="22" customHeight="1" spans="1:7" x14ac:dyDescent="0.25">
      <c r="A18" s="5" t="s">
        <v>227</v>
      </c>
      <c r="B18" s="28" t="s">
        <v>133</v>
      </c>
      <c r="C18" s="6" t="s">
        <v>133</v>
      </c>
      <c r="D18" s="20">
        <f>D5*12*(1-'1. Supuestos &amp; Macro'!C18-'1. Supuestos &amp; Macro'!C19)-('10. Flujo Neto de Fondos'!C3/D11)</f>
        <v>197358</v>
      </c>
      <c r="E18" s="20">
        <f>E5*12*(1-'1. Supuestos &amp; Macro'!C18-'1. Supuestos &amp; Macro'!C19)-('10. Flujo Neto de Fondos'!D3/E11)</f>
        <v>204684</v>
      </c>
      <c r="F18" s="20">
        <f>F5*12*(1-'1. Supuestos &amp; Macro'!C18-'1. Supuestos &amp; Macro'!C19)-('10. Flujo Neto de Fondos'!E3/F11)</f>
        <v>212450</v>
      </c>
      <c r="G18" s="20">
        <f>G5*12*(1-'1. Supuestos &amp; Macro'!C18-'1. Supuestos &amp; Macro'!C19)-('10. Flujo Neto de Fondos'!F3/G11)</f>
        <v>220530</v>
      </c>
    </row>
    <row r="19" ht="22" customHeight="1" spans="1:7" x14ac:dyDescent="0.25">
      <c r="A19" s="41" t="s">
        <v>228</v>
      </c>
      <c r="B19" s="26" t="s">
        <v>133</v>
      </c>
      <c r="C19" s="42" t="s">
        <v>229</v>
      </c>
      <c r="D19" s="43">
        <f>ROUNDUP(D17/D18, 0)</f>
        <v>100</v>
      </c>
      <c r="E19" s="43">
        <f>ROUNDUP(E17/E18, 0)</f>
        <v>148</v>
      </c>
      <c r="F19" s="43">
        <f>ROUNDUP(F17/F18, 0)</f>
        <v>200</v>
      </c>
      <c r="G19" s="43">
        <f>ROUNDUP(G17/G18, 0)</f>
        <v>226</v>
      </c>
    </row>
    <row r="20" ht="22" customHeight="1" spans="1:7" x14ac:dyDescent="0.25">
      <c r="A20" s="5" t="s">
        <v>230</v>
      </c>
      <c r="B20" s="28" t="s">
        <v>133</v>
      </c>
      <c r="C20" s="6" t="s">
        <v>231</v>
      </c>
      <c r="D20" s="44" t="s">
        <v>232</v>
      </c>
      <c r="E20" s="44" t="s">
        <v>233</v>
      </c>
      <c r="F20" s="44" t="s">
        <v>234</v>
      </c>
      <c r="G20" s="44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42" customWidth="1"/>
    <col min="3" max="3" width="24" customWidth="1"/>
    <col min="4" max="4" width="28" customWidth="1"/>
    <col min="5" max="5" width="40" customWidth="1"/>
  </cols>
  <sheetData>
    <row r="1" ht="28" customHeight="1" spans="1:5" x14ac:dyDescent="0.25">
      <c r="A1" s="1" t="s">
        <v>236</v>
      </c>
      <c r="B1" s="1" t="s">
        <v>237</v>
      </c>
      <c r="C1" s="1" t="s">
        <v>238</v>
      </c>
      <c r="D1" s="1" t="s">
        <v>239</v>
      </c>
      <c r="E1" s="1" t="s">
        <v>240</v>
      </c>
    </row>
    <row r="2" ht="22" customHeight="1" spans="1:5" x14ac:dyDescent="0.25">
      <c r="A2" s="5" t="s">
        <v>241</v>
      </c>
      <c r="B2" s="5" t="s">
        <v>242</v>
      </c>
      <c r="C2" s="20">
        <v>1800000</v>
      </c>
      <c r="D2" s="5" t="s">
        <v>243</v>
      </c>
      <c r="E2" s="5" t="s">
        <v>244</v>
      </c>
    </row>
    <row r="3" ht="22" customHeight="1" spans="1:5" x14ac:dyDescent="0.25">
      <c r="A3" s="2" t="s">
        <v>241</v>
      </c>
      <c r="B3" s="2" t="s">
        <v>245</v>
      </c>
      <c r="C3" s="10">
        <v>180000</v>
      </c>
      <c r="D3" s="2" t="s">
        <v>243</v>
      </c>
      <c r="E3" s="2" t="s">
        <v>246</v>
      </c>
    </row>
    <row r="4" ht="22" customHeight="1" spans="1:5" x14ac:dyDescent="0.25">
      <c r="A4" s="5" t="s">
        <v>241</v>
      </c>
      <c r="B4" s="5" t="s">
        <v>247</v>
      </c>
      <c r="C4" s="20">
        <v>300000</v>
      </c>
      <c r="D4" s="5" t="s">
        <v>243</v>
      </c>
      <c r="E4" s="5" t="s">
        <v>248</v>
      </c>
    </row>
    <row r="5" ht="22" customHeight="1" spans="1:5" x14ac:dyDescent="0.25">
      <c r="A5" s="45" t="s">
        <v>249</v>
      </c>
      <c r="B5" s="45" t="s">
        <v>250</v>
      </c>
      <c r="C5" s="46">
        <f>SUM(C2:C4)</f>
        <v>2280000</v>
      </c>
      <c r="D5" s="45" t="s">
        <v>94</v>
      </c>
      <c r="E5" s="45" t="s">
        <v>251</v>
      </c>
    </row>
    <row r="6" ht="22" customHeight="1" spans="1:5" x14ac:dyDescent="0.25">
      <c r="A6" s="5" t="s">
        <v>252</v>
      </c>
      <c r="B6" s="5" t="s">
        <v>253</v>
      </c>
      <c r="C6" s="20">
        <v>180000</v>
      </c>
      <c r="D6" s="5" t="s">
        <v>254</v>
      </c>
      <c r="E6" s="5" t="s">
        <v>255</v>
      </c>
    </row>
    <row r="7" ht="22" customHeight="1" spans="1:5" x14ac:dyDescent="0.25">
      <c r="A7" s="2" t="s">
        <v>252</v>
      </c>
      <c r="B7" s="2" t="s">
        <v>256</v>
      </c>
      <c r="C7" s="10">
        <v>320000</v>
      </c>
      <c r="D7" s="2" t="s">
        <v>254</v>
      </c>
      <c r="E7" s="2" t="s">
        <v>257</v>
      </c>
    </row>
    <row r="8" ht="22" customHeight="1" spans="1:5" x14ac:dyDescent="0.25">
      <c r="A8" s="5" t="s">
        <v>252</v>
      </c>
      <c r="B8" s="5" t="s">
        <v>258</v>
      </c>
      <c r="C8" s="20">
        <f>'4. Software &amp; Licencias'!D11</f>
        <v>585510</v>
      </c>
      <c r="D8" s="5" t="s">
        <v>259</v>
      </c>
      <c r="E8" s="5" t="s">
        <v>260</v>
      </c>
    </row>
    <row r="9" ht="22" customHeight="1" spans="1:5" x14ac:dyDescent="0.25">
      <c r="A9" s="45" t="s">
        <v>261</v>
      </c>
      <c r="B9" s="45" t="s">
        <v>262</v>
      </c>
      <c r="C9" s="46">
        <f>SUM(C6:C8)</f>
        <v>1085510</v>
      </c>
      <c r="D9" s="45" t="s">
        <v>94</v>
      </c>
      <c r="E9" s="45" t="s">
        <v>263</v>
      </c>
    </row>
    <row r="10" ht="22" customHeight="1" spans="1:5" x14ac:dyDescent="0.25">
      <c r="A10" s="5" t="s">
        <v>264</v>
      </c>
      <c r="B10" s="5" t="s">
        <v>265</v>
      </c>
      <c r="C10" s="20">
        <f>'2. Mano de Obra'!F5</f>
        <v>8778000</v>
      </c>
      <c r="D10" s="5" t="s">
        <v>266</v>
      </c>
      <c r="E10" s="5" t="s">
        <v>267</v>
      </c>
    </row>
    <row r="11" ht="22" customHeight="1" spans="1:5" x14ac:dyDescent="0.25">
      <c r="A11" s="2" t="s">
        <v>264</v>
      </c>
      <c r="B11" s="2" t="s">
        <v>268</v>
      </c>
      <c r="C11" s="10">
        <v>3000000</v>
      </c>
      <c r="D11" s="2" t="s">
        <v>269</v>
      </c>
      <c r="E11" s="2" t="s">
        <v>270</v>
      </c>
    </row>
    <row r="12" ht="22" customHeight="1" spans="1:5" x14ac:dyDescent="0.25">
      <c r="A12" s="45" t="s">
        <v>271</v>
      </c>
      <c r="B12" s="45" t="s">
        <v>272</v>
      </c>
      <c r="C12" s="46">
        <f>SUM(C10:C11)</f>
        <v>11778000</v>
      </c>
      <c r="D12" s="45" t="s">
        <v>94</v>
      </c>
      <c r="E12" s="45" t="s">
        <v>273</v>
      </c>
    </row>
    <row r="13" ht="26" customHeight="1" spans="1:5" x14ac:dyDescent="0.25">
      <c r="A13" s="47" t="s">
        <v>274</v>
      </c>
      <c r="B13" s="47" t="s">
        <v>275</v>
      </c>
      <c r="C13" s="48">
        <f>C5+C9+C12</f>
        <v>15143510</v>
      </c>
      <c r="D13" s="47" t="s">
        <v>94</v>
      </c>
      <c r="E13" s="47" t="s">
        <v>276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4" customWidth="1"/>
    <col min="3" max="6" width="20" customWidth="1"/>
    <col min="7" max="7" width="40" customWidth="1"/>
  </cols>
  <sheetData>
    <row r="1" ht="28" customHeight="1" spans="1:7" x14ac:dyDescent="0.25">
      <c r="A1" s="1" t="s">
        <v>277</v>
      </c>
      <c r="B1" s="1" t="s">
        <v>278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279</v>
      </c>
    </row>
    <row r="2" ht="22" customHeight="1" spans="1:7" x14ac:dyDescent="0.25">
      <c r="A2" s="5" t="s">
        <v>96</v>
      </c>
      <c r="B2" s="5" t="s">
        <v>97</v>
      </c>
      <c r="C2" s="20">
        <f>'2. Mano de Obra'!G9</f>
        <v>8151000</v>
      </c>
      <c r="D2" s="20">
        <f>'2. Mano de Obra'!H9</f>
        <v>10032000</v>
      </c>
      <c r="E2" s="20">
        <f>'2. Mano de Obra'!I9</f>
        <v>11913000</v>
      </c>
      <c r="F2" s="20">
        <f>'2. Mano de Obra'!J9</f>
        <v>14421000</v>
      </c>
      <c r="G2" s="5" t="s">
        <v>280</v>
      </c>
    </row>
    <row r="3" ht="22" customHeight="1" spans="1:7" x14ac:dyDescent="0.25">
      <c r="A3" s="2" t="s">
        <v>98</v>
      </c>
      <c r="B3" s="2" t="s">
        <v>97</v>
      </c>
      <c r="C3" s="10">
        <f>'2. Mano de Obra'!G10</f>
        <v>8151000</v>
      </c>
      <c r="D3" s="10">
        <f>'2. Mano de Obra'!H10</f>
        <v>10032000</v>
      </c>
      <c r="E3" s="10">
        <f>'2. Mano de Obra'!I10</f>
        <v>11913000</v>
      </c>
      <c r="F3" s="10">
        <f>'2. Mano de Obra'!J10</f>
        <v>14421000</v>
      </c>
      <c r="G3" s="2" t="s">
        <v>281</v>
      </c>
    </row>
    <row r="4" ht="22" customHeight="1" spans="1:7" x14ac:dyDescent="0.25">
      <c r="A4" s="5" t="s">
        <v>282</v>
      </c>
      <c r="B4" s="5" t="s">
        <v>283</v>
      </c>
      <c r="C4" s="20">
        <f>'2. Mano de Obra'!G11</f>
        <v>0</v>
      </c>
      <c r="D4" s="20">
        <f>'2. Mano de Obra'!H11</f>
        <v>6270000</v>
      </c>
      <c r="E4" s="20">
        <f>'2. Mano de Obra'!I11</f>
        <v>6897000</v>
      </c>
      <c r="F4" s="20">
        <f>'2. Mano de Obra'!J11</f>
        <v>7524000</v>
      </c>
      <c r="G4" s="5" t="s">
        <v>284</v>
      </c>
    </row>
    <row r="5" ht="22" customHeight="1" spans="1:7" x14ac:dyDescent="0.25">
      <c r="A5" s="2" t="s">
        <v>285</v>
      </c>
      <c r="B5" s="2" t="s">
        <v>286</v>
      </c>
      <c r="C5" s="10">
        <f>'2. Mano de Obra'!G12</f>
        <v>0</v>
      </c>
      <c r="D5" s="10">
        <f>'2. Mano de Obra'!H12</f>
        <v>0</v>
      </c>
      <c r="E5" s="10">
        <f>'2. Mano de Obra'!I12</f>
        <v>6897000</v>
      </c>
      <c r="F5" s="10">
        <f>'2. Mano de Obra'!J12</f>
        <v>7524000</v>
      </c>
      <c r="G5" s="2" t="s">
        <v>287</v>
      </c>
    </row>
    <row r="6" ht="22" customHeight="1" spans="1:7" x14ac:dyDescent="0.25">
      <c r="A6" s="5" t="s">
        <v>288</v>
      </c>
      <c r="B6" s="5" t="s">
        <v>289</v>
      </c>
      <c r="C6" s="20">
        <f>'7. Demanda &amp; Ingresos'!D14*'1. Supuestos &amp; Macro'!C19</f>
        <v>1068180</v>
      </c>
      <c r="D6" s="20">
        <f>'7. Demanda &amp; Ingresos'!E14*'1. Supuestos &amp; Macro'!C19</f>
        <v>2450967</v>
      </c>
      <c r="E6" s="20">
        <f>'7. Demanda &amp; Ingresos'!F14*'1. Supuestos &amp; Macro'!C19</f>
        <v>4603617</v>
      </c>
      <c r="F6" s="20">
        <f>'7. Demanda &amp; Ingresos'!G14*'1. Supuestos &amp; Macro'!C19</f>
        <v>7293582</v>
      </c>
      <c r="G6" s="5" t="s">
        <v>290</v>
      </c>
    </row>
    <row r="7" ht="25" customHeight="1" spans="1:7" x14ac:dyDescent="0.25">
      <c r="A7" s="21" t="s">
        <v>291</v>
      </c>
      <c r="B7" s="21" t="s">
        <v>94</v>
      </c>
      <c r="C7" s="22">
        <f>SUM(C2:C6)</f>
        <v>17370180</v>
      </c>
      <c r="D7" s="22">
        <f>SUM(D2:D6)</f>
        <v>28784967</v>
      </c>
      <c r="E7" s="22">
        <f>SUM(E2:E6)</f>
        <v>42223617</v>
      </c>
      <c r="F7" s="22">
        <f>SUM(F2:F6)</f>
        <v>51183582</v>
      </c>
      <c r="G7" s="21" t="s">
        <v>292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4" customWidth="1"/>
    <col min="2" max="6" width="20" customWidth="1"/>
    <col min="7" max="7" width="36" customWidth="1"/>
  </cols>
  <sheetData>
    <row r="1" ht="28" customHeight="1" spans="1:7" x14ac:dyDescent="0.25">
      <c r="A1" s="1" t="s">
        <v>293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294</v>
      </c>
    </row>
    <row r="2" ht="22" customHeight="1" spans="1:7" x14ac:dyDescent="0.25">
      <c r="A2" s="5" t="s">
        <v>295</v>
      </c>
      <c r="B2" s="49">
        <v>0</v>
      </c>
      <c r="C2" s="49">
        <f>'7. Demanda &amp; Ingresos'!D14</f>
        <v>21363600</v>
      </c>
      <c r="D2" s="49">
        <f>'7. Demanda &amp; Ingresos'!E14</f>
        <v>49019342</v>
      </c>
      <c r="E2" s="49">
        <f>'7. Demanda &amp; Ingresos'!F14</f>
        <v>92072331</v>
      </c>
      <c r="F2" s="49">
        <f>'7. Demanda &amp; Ingresos'!G14</f>
        <v>145871647</v>
      </c>
      <c r="G2" s="5" t="s">
        <v>296</v>
      </c>
    </row>
    <row r="3" ht="22" customHeight="1" spans="1:7" x14ac:dyDescent="0.25">
      <c r="A3" s="2" t="s">
        <v>297</v>
      </c>
      <c r="B3" s="50">
        <v>0</v>
      </c>
      <c r="C3" s="50">
        <f>'5. Infraestructura Cloud'!C6</f>
        <v>996000</v>
      </c>
      <c r="D3" s="50">
        <f>'5. Infraestructura Cloud'!D6</f>
        <v>2450000</v>
      </c>
      <c r="E3" s="50">
        <f>'5. Infraestructura Cloud'!E6</f>
        <v>4840000</v>
      </c>
      <c r="F3" s="50">
        <f>'5. Infraestructura Cloud'!F6</f>
        <v>7940000</v>
      </c>
      <c r="G3" s="2" t="s">
        <v>298</v>
      </c>
    </row>
    <row r="4" ht="22" customHeight="1" spans="1:7" x14ac:dyDescent="0.25">
      <c r="A4" s="5" t="s">
        <v>299</v>
      </c>
      <c r="B4" s="49">
        <v>0</v>
      </c>
      <c r="C4" s="49">
        <f>C2*'1. Supuestos &amp; Macro'!C18</f>
        <v>534090</v>
      </c>
      <c r="D4" s="49">
        <f>D2*'1. Supuestos &amp; Macro'!C18</f>
        <v>1225484</v>
      </c>
      <c r="E4" s="49">
        <f>E2*'1. Supuestos &amp; Macro'!C18</f>
        <v>2301808</v>
      </c>
      <c r="F4" s="49">
        <f>F2*'1. Supuestos &amp; Macro'!C18</f>
        <v>3646791</v>
      </c>
      <c r="G4" s="5" t="s">
        <v>300</v>
      </c>
    </row>
    <row r="5" ht="22" customHeight="1" spans="1:7" x14ac:dyDescent="0.25">
      <c r="A5" s="2" t="s">
        <v>301</v>
      </c>
      <c r="B5" s="50">
        <v>0</v>
      </c>
      <c r="C5" s="50">
        <f>'9. Personal Operativo'!C6</f>
        <v>1068180</v>
      </c>
      <c r="D5" s="50">
        <f>'9. Personal Operativo'!D6</f>
        <v>2450967</v>
      </c>
      <c r="E5" s="50">
        <f>'9. Personal Operativo'!E6</f>
        <v>4603617</v>
      </c>
      <c r="F5" s="50">
        <f>'9. Personal Operativo'!F6</f>
        <v>7293582</v>
      </c>
      <c r="G5" s="2" t="s">
        <v>302</v>
      </c>
    </row>
    <row r="6" ht="22" customHeight="1" spans="1:7" x14ac:dyDescent="0.25">
      <c r="A6" s="5" t="s">
        <v>303</v>
      </c>
      <c r="B6" s="49">
        <v>0</v>
      </c>
      <c r="C6" s="49">
        <f>'2. Mano de Obra'!G13</f>
        <v>16302000</v>
      </c>
      <c r="D6" s="49">
        <f>'2. Mano de Obra'!H13</f>
        <v>26334000</v>
      </c>
      <c r="E6" s="49">
        <f>'2. Mano de Obra'!I13</f>
        <v>37620000</v>
      </c>
      <c r="F6" s="49">
        <f>'2. Mano de Obra'!J13</f>
        <v>43890000</v>
      </c>
      <c r="G6" s="5" t="s">
        <v>304</v>
      </c>
    </row>
    <row r="7" ht="22" customHeight="1" spans="1:7" x14ac:dyDescent="0.25">
      <c r="A7" s="2" t="s">
        <v>305</v>
      </c>
      <c r="B7" s="50">
        <v>0</v>
      </c>
      <c r="C7" s="50">
        <f>'6. Insumos &amp; Gastos Gen'!D8</f>
        <v>2148000</v>
      </c>
      <c r="D7" s="50">
        <f>'6. Insumos &amp; Gastos Gen'!E8</f>
        <v>2502264</v>
      </c>
      <c r="E7" s="50">
        <f>'6. Insumos &amp; Gastos Gen'!F8</f>
        <v>2858590</v>
      </c>
      <c r="F7" s="50">
        <f>'6. Insumos &amp; Gastos Gen'!G8</f>
        <v>3277056</v>
      </c>
      <c r="G7" s="2" t="s">
        <v>306</v>
      </c>
    </row>
    <row r="8" ht="22" customHeight="1" spans="1:7" x14ac:dyDescent="0.25">
      <c r="A8" s="5" t="s">
        <v>307</v>
      </c>
      <c r="B8" s="49">
        <v>0</v>
      </c>
      <c r="C8" s="49">
        <f>'4. Software &amp; Licencias'!E11</f>
        <v>1283930</v>
      </c>
      <c r="D8" s="49">
        <f>'4. Software &amp; Licencias'!F11</f>
        <v>1547602</v>
      </c>
      <c r="E8" s="49">
        <f>'4. Software &amp; Licencias'!G11</f>
        <v>1981924</v>
      </c>
      <c r="F8" s="49">
        <f>'4. Software &amp; Licencias'!H11</f>
        <v>2586944</v>
      </c>
      <c r="G8" s="5" t="s">
        <v>308</v>
      </c>
    </row>
    <row r="9" ht="22" customHeight="1" spans="1:7" x14ac:dyDescent="0.25">
      <c r="A9" s="2" t="s">
        <v>309</v>
      </c>
      <c r="B9" s="50">
        <v>0</v>
      </c>
      <c r="C9" s="50">
        <f>'3. Maquinaria &amp; Equipos'!D15</f>
        <v>1002500</v>
      </c>
      <c r="D9" s="50">
        <f>'3. Maquinaria &amp; Equipos'!E15</f>
        <v>1002500</v>
      </c>
      <c r="E9" s="50">
        <f>'3. Maquinaria &amp; Equipos'!F15</f>
        <v>855000</v>
      </c>
      <c r="F9" s="50">
        <f>'3. Maquinaria &amp; Equipos'!G15</f>
        <v>225000</v>
      </c>
      <c r="G9" s="2" t="s">
        <v>310</v>
      </c>
    </row>
    <row r="10" ht="22" customHeight="1" spans="1:7" x14ac:dyDescent="0.25">
      <c r="A10" s="51" t="s">
        <v>311</v>
      </c>
      <c r="B10" s="52">
        <v>0</v>
      </c>
      <c r="C10" s="52">
        <f>C2-SUM(C3:C9)</f>
        <v>-1971100</v>
      </c>
      <c r="D10" s="52">
        <f>D2-SUM(D3:D9)</f>
        <v>11506525</v>
      </c>
      <c r="E10" s="52">
        <f>E2-SUM(E3:E9)</f>
        <v>37011392</v>
      </c>
      <c r="F10" s="52">
        <f>F2-SUM(F3:F9)</f>
        <v>77012274</v>
      </c>
      <c r="G10" s="51" t="s">
        <v>312</v>
      </c>
    </row>
    <row r="11" ht="22" customHeight="1" spans="1:7" x14ac:dyDescent="0.25">
      <c r="A11" s="2" t="s">
        <v>313</v>
      </c>
      <c r="B11" s="50">
        <v>0</v>
      </c>
      <c r="C11" s="50">
        <f>IF(C10&gt;0, C10*'1. Supuestos &amp; Macro'!C9, 0)</f>
        <v>0</v>
      </c>
      <c r="D11" s="50">
        <f>IF(D10&gt;0, D10*'1. Supuestos &amp; Macro'!C9, 0)</f>
        <v>3106762</v>
      </c>
      <c r="E11" s="50">
        <f>IF(E10&gt;0, E10*'1. Supuestos &amp; Macro'!C9, 0)</f>
        <v>9993076</v>
      </c>
      <c r="F11" s="50">
        <f>IF(F10&gt;0, F10*'1. Supuestos &amp; Macro'!C9, 0)</f>
        <v>20793314</v>
      </c>
      <c r="G11" s="2" t="s">
        <v>314</v>
      </c>
    </row>
    <row r="12" ht="22" customHeight="1" spans="1:7" x14ac:dyDescent="0.25">
      <c r="A12" s="51" t="s">
        <v>315</v>
      </c>
      <c r="B12" s="52">
        <v>0</v>
      </c>
      <c r="C12" s="52">
        <f>C10-C11</f>
        <v>-1971100</v>
      </c>
      <c r="D12" s="52">
        <f>D10-D11</f>
        <v>8399763</v>
      </c>
      <c r="E12" s="52">
        <f>E10-E11</f>
        <v>27018316</v>
      </c>
      <c r="F12" s="52">
        <f>F10-F11</f>
        <v>56218960</v>
      </c>
      <c r="G12" s="51" t="s">
        <v>316</v>
      </c>
    </row>
    <row r="13" ht="22" customHeight="1" spans="1:7" x14ac:dyDescent="0.25">
      <c r="A13" s="2" t="s">
        <v>317</v>
      </c>
      <c r="B13" s="50">
        <v>0</v>
      </c>
      <c r="C13" s="50">
        <f>C9</f>
        <v>1002500</v>
      </c>
      <c r="D13" s="50">
        <f>D9</f>
        <v>1002500</v>
      </c>
      <c r="E13" s="50">
        <f>E9</f>
        <v>855000</v>
      </c>
      <c r="F13" s="50">
        <f>F9</f>
        <v>225000</v>
      </c>
      <c r="G13" s="2" t="s">
        <v>318</v>
      </c>
    </row>
    <row r="14" ht="22" customHeight="1" spans="1:7" x14ac:dyDescent="0.25">
      <c r="A14" s="5" t="s">
        <v>319</v>
      </c>
      <c r="B14" s="49">
        <f>-'8. Inversion &amp; Cap Trabajo'!C5-'8. Inversion &amp; Cap Trabajo'!C9</f>
        <v>-3365510</v>
      </c>
      <c r="C14" s="49">
        <f>-'3. Maquinaria &amp; Equipos'!E10</f>
        <v>-900000</v>
      </c>
      <c r="D14" s="49">
        <v>0</v>
      </c>
      <c r="E14" s="49">
        <v>0</v>
      </c>
      <c r="F14" s="49">
        <v>0</v>
      </c>
      <c r="G14" s="5" t="s">
        <v>320</v>
      </c>
    </row>
    <row r="15" ht="22" customHeight="1" spans="1:7" x14ac:dyDescent="0.25">
      <c r="A15" s="2" t="s">
        <v>321</v>
      </c>
      <c r="B15" s="50">
        <f>-'8. Inversion &amp; Cap Trabajo'!C12</f>
        <v>-11778000</v>
      </c>
      <c r="C15" s="50">
        <v>0</v>
      </c>
      <c r="D15" s="50">
        <v>0</v>
      </c>
      <c r="E15" s="50">
        <v>0</v>
      </c>
      <c r="F15" s="50">
        <v>0</v>
      </c>
      <c r="G15" s="2" t="s">
        <v>322</v>
      </c>
    </row>
    <row r="16" ht="22" customHeight="1" spans="1:7" x14ac:dyDescent="0.25">
      <c r="A16" s="5" t="s">
        <v>323</v>
      </c>
      <c r="B16" s="49">
        <v>0</v>
      </c>
      <c r="C16" s="49">
        <v>0</v>
      </c>
      <c r="D16" s="49">
        <v>0</v>
      </c>
      <c r="E16" s="49">
        <v>0</v>
      </c>
      <c r="F16" s="49">
        <f>'8. Inversion &amp; Cap Trabajo'!C12</f>
        <v>11778000</v>
      </c>
      <c r="G16" s="5" t="s">
        <v>324</v>
      </c>
    </row>
    <row r="17" ht="22" customHeight="1" spans="1:7" x14ac:dyDescent="0.25">
      <c r="A17" s="2" t="s">
        <v>325</v>
      </c>
      <c r="B17" s="50">
        <v>0</v>
      </c>
      <c r="C17" s="50">
        <v>0</v>
      </c>
      <c r="D17" s="50">
        <v>0</v>
      </c>
      <c r="E17" s="50">
        <v>0</v>
      </c>
      <c r="F17" s="50">
        <f>'3. Maquinaria &amp; Equipos'!I15</f>
        <v>320000</v>
      </c>
      <c r="G17" s="2" t="s">
        <v>326</v>
      </c>
    </row>
    <row r="18" ht="26" customHeight="1" spans="1:7" x14ac:dyDescent="0.25">
      <c r="A18" s="53" t="s">
        <v>327</v>
      </c>
      <c r="B18" s="54">
        <f>B14+B15</f>
        <v>-15143510</v>
      </c>
      <c r="C18" s="54">
        <f>C12+C13+C14+C15+C16+C17</f>
        <v>-1868600</v>
      </c>
      <c r="D18" s="54">
        <f>D12+D13+D14+D15+D16+D17</f>
        <v>9402263</v>
      </c>
      <c r="E18" s="54">
        <f>E12+E13+E14+E15+E16+E17</f>
        <v>27873316</v>
      </c>
      <c r="F18" s="54">
        <f>F12+F13+F14+F15+F16+F17</f>
        <v>68541960</v>
      </c>
      <c r="G18" s="53" t="s">
        <v>328</v>
      </c>
    </row>
    <row r="20" ht="28" customHeight="1" spans="1:7" x14ac:dyDescent="0.25">
      <c r="A20" s="1" t="s">
        <v>329</v>
      </c>
      <c r="B20" s="1" t="s">
        <v>133</v>
      </c>
      <c r="C20" s="1" t="s">
        <v>133</v>
      </c>
      <c r="D20" s="1" t="s">
        <v>133</v>
      </c>
      <c r="E20" s="1" t="s">
        <v>133</v>
      </c>
      <c r="F20" s="1" t="s">
        <v>133</v>
      </c>
      <c r="G20" s="1" t="s">
        <v>330</v>
      </c>
    </row>
    <row r="21" ht="24" customHeight="1" spans="1:7" x14ac:dyDescent="0.25">
      <c r="A21" s="12" t="s">
        <v>331</v>
      </c>
      <c r="B21" s="14">
        <f>'1. Supuestos &amp; Macro'!C15</f>
        <v>0.1285</v>
      </c>
      <c r="C21" s="55" t="s">
        <v>133</v>
      </c>
      <c r="D21" s="55" t="s">
        <v>133</v>
      </c>
      <c r="E21" s="55" t="s">
        <v>133</v>
      </c>
      <c r="F21" s="55" t="s">
        <v>133</v>
      </c>
      <c r="G21" s="12" t="s">
        <v>332</v>
      </c>
    </row>
    <row r="22" ht="24" customHeight="1" spans="1:7" x14ac:dyDescent="0.25">
      <c r="A22" s="12" t="s">
        <v>333</v>
      </c>
      <c r="B22" s="56">
        <f>NPV(B21, C18:F18) + B18</f>
        <v>52240363</v>
      </c>
      <c r="C22" s="55" t="s">
        <v>133</v>
      </c>
      <c r="D22" s="55" t="s">
        <v>133</v>
      </c>
      <c r="E22" s="55" t="s">
        <v>133</v>
      </c>
      <c r="F22" s="55" t="s">
        <v>133</v>
      </c>
      <c r="G22" s="12" t="s">
        <v>334</v>
      </c>
    </row>
    <row r="23" ht="24" customHeight="1" spans="1:7" x14ac:dyDescent="0.25">
      <c r="A23" s="12" t="s">
        <v>335</v>
      </c>
      <c r="B23" s="14">
        <f>IRR(B18:F18)</f>
        <v>0.7284</v>
      </c>
      <c r="C23" s="55" t="s">
        <v>133</v>
      </c>
      <c r="D23" s="55" t="s">
        <v>133</v>
      </c>
      <c r="E23" s="55" t="s">
        <v>133</v>
      </c>
      <c r="F23" s="55" t="s">
        <v>133</v>
      </c>
      <c r="G23" s="12" t="s">
        <v>336</v>
      </c>
    </row>
    <row r="24" ht="24" customHeight="1" spans="1:7" x14ac:dyDescent="0.25">
      <c r="A24" s="12" t="s">
        <v>337</v>
      </c>
      <c r="B24" s="57" t="s">
        <v>338</v>
      </c>
      <c r="C24" s="55" t="s">
        <v>133</v>
      </c>
      <c r="D24" s="55" t="s">
        <v>133</v>
      </c>
      <c r="E24" s="55" t="s">
        <v>133</v>
      </c>
      <c r="F24" s="55" t="s">
        <v>133</v>
      </c>
      <c r="G24" s="12" t="s">
        <v>339</v>
      </c>
    </row>
    <row r="25" ht="24" customHeight="1" spans="1:7" x14ac:dyDescent="0.25">
      <c r="A25" s="12" t="s">
        <v>340</v>
      </c>
      <c r="B25" s="58">
        <f>(SUM(C18:F18)+B18)/(-B18)</f>
        <v>5.86</v>
      </c>
      <c r="C25" s="55" t="s">
        <v>133</v>
      </c>
      <c r="D25" s="55" t="s">
        <v>133</v>
      </c>
      <c r="E25" s="55" t="s">
        <v>133</v>
      </c>
      <c r="F25" s="55" t="s">
        <v>133</v>
      </c>
      <c r="G25" s="12" t="s">
        <v>341</v>
      </c>
    </row>
    <row r="27" ht="28" customHeight="1" spans="1:7" x14ac:dyDescent="0.25">
      <c r="A27" s="19" t="s">
        <v>342</v>
      </c>
      <c r="B27" s="19" t="s">
        <v>85</v>
      </c>
      <c r="C27" s="19" t="s">
        <v>86</v>
      </c>
      <c r="D27" s="19" t="s">
        <v>87</v>
      </c>
      <c r="E27" s="19" t="s">
        <v>88</v>
      </c>
      <c r="F27" s="19" t="s">
        <v>89</v>
      </c>
      <c r="G27" s="19" t="s">
        <v>343</v>
      </c>
    </row>
    <row r="28" ht="22" customHeight="1" spans="1:7" x14ac:dyDescent="0.25">
      <c r="A28" s="26" t="s">
        <v>344</v>
      </c>
      <c r="B28" s="59">
        <f>B18</f>
        <v>-15143510</v>
      </c>
      <c r="C28" s="59">
        <f>B28+C18</f>
        <v>-17012110</v>
      </c>
      <c r="D28" s="59">
        <f>C28+D18</f>
        <v>-7609846</v>
      </c>
      <c r="E28" s="59">
        <f>D28+E18</f>
        <v>20263470</v>
      </c>
      <c r="F28" s="59">
        <f>E28+F18</f>
        <v>88805429</v>
      </c>
      <c r="G28" s="26" t="s">
        <v>345</v>
      </c>
    </row>
    <row r="30" ht="28" customHeight="1" spans="1:7" x14ac:dyDescent="0.25">
      <c r="A30" s="1" t="s">
        <v>346</v>
      </c>
      <c r="B30" s="1" t="s">
        <v>347</v>
      </c>
      <c r="C30" s="1" t="s">
        <v>348</v>
      </c>
      <c r="D30" s="1" t="s">
        <v>349</v>
      </c>
      <c r="E30" s="1" t="s">
        <v>350</v>
      </c>
      <c r="F30" s="1" t="s">
        <v>351</v>
      </c>
      <c r="G30" s="1" t="s">
        <v>352</v>
      </c>
    </row>
    <row r="31" ht="22" customHeight="1" spans="1:7" x14ac:dyDescent="0.25">
      <c r="A31" s="60" t="s">
        <v>353</v>
      </c>
      <c r="B31" s="61" t="s">
        <v>354</v>
      </c>
      <c r="C31" s="62">
        <v>25120000</v>
      </c>
      <c r="D31" s="63">
        <v>0.458</v>
      </c>
      <c r="E31" s="61" t="s">
        <v>355</v>
      </c>
      <c r="F31" s="60" t="s">
        <v>356</v>
      </c>
      <c r="G31" s="60" t="s">
        <v>357</v>
      </c>
    </row>
    <row r="32" ht="22" customHeight="1" spans="1:7" x14ac:dyDescent="0.25">
      <c r="A32" s="64" t="s">
        <v>358</v>
      </c>
      <c r="B32" s="65" t="s">
        <v>359</v>
      </c>
      <c r="C32" s="66">
        <f>B22</f>
        <v>52240363</v>
      </c>
      <c r="D32" s="67">
        <f>B23</f>
        <v>0.7284</v>
      </c>
      <c r="E32" s="65" t="s">
        <v>338</v>
      </c>
      <c r="F32" s="64" t="s">
        <v>360</v>
      </c>
      <c r="G32" s="64" t="s">
        <v>361</v>
      </c>
    </row>
    <row r="33" ht="22" customHeight="1" spans="1:7" x14ac:dyDescent="0.25">
      <c r="A33" s="5" t="s">
        <v>362</v>
      </c>
      <c r="B33" s="6" t="s">
        <v>363</v>
      </c>
      <c r="C33" s="49">
        <v>79250000</v>
      </c>
      <c r="D33" s="9">
        <v>0.992</v>
      </c>
      <c r="E33" s="6" t="s">
        <v>364</v>
      </c>
      <c r="F33" s="5" t="s">
        <v>365</v>
      </c>
      <c r="G33" s="5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Supuestos &amp; Macro</vt:lpstr>
      <vt:lpstr>2. Mano de Obra</vt:lpstr>
      <vt:lpstr>3. Maquinaria &amp; Equipos</vt:lpstr>
      <vt:lpstr>4. Software &amp; Licencias</vt:lpstr>
      <vt:lpstr>5. Infraestructura Cloud</vt:lpstr>
      <vt:lpstr>6. Insumos &amp; Gastos Gen</vt:lpstr>
      <vt:lpstr>7. Demanda &amp; Ingresos</vt:lpstr>
      <vt:lpstr>8. Inversion &amp; Cap Trabajo</vt:lpstr>
      <vt:lpstr>9. Personal Operativo</vt:lpstr>
      <vt:lpstr>10. Flujo Neto de Fondos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ObraTrack SpA - Evaluación Financiera Oficial INACAP</dc:creator>
  <dc:title/>
  <dc:subject/>
  <dc:description/>
  <cp:keywords/>
  <cp:category/>
  <cp:lastModifiedBy>Benjamín Achávar &amp; Socio (Fundadores)</cp:lastModifiedBy>
  <dcterms:created xsi:type="dcterms:W3CDTF">2026-09-27T20:43:14Z</dcterms:created>
  <dcterms:modified xsi:type="dcterms:W3CDTF">2026-09-27T20:43:14Z</dcterms:modified>
</cp:coreProperties>
</file>